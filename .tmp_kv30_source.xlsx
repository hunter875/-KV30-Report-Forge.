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6 tháng đầu năm" sheetId="1" r:id="rId5"/>
    <sheet state="hidden" name="BC NGÀY 1" sheetId="2" r:id="rId6"/>
    <sheet state="visible" name="BC NGÀY" sheetId="3" r:id="rId7"/>
    <sheet state="visible" name="BC TUẦN" sheetId="4" r:id="rId8"/>
    <sheet state="visible" name="BC THÁNG" sheetId="5" r:id="rId9"/>
    <sheet state="visible" name="BC QUÝ" sheetId="6" r:id="rId10"/>
    <sheet state="hidden" name="BC TUẦN 1" sheetId="7" r:id="rId11"/>
    <sheet state="hidden" name="BC THÁNG 1" sheetId="8" r:id="rId12"/>
    <sheet state="hidden" name="BC CAO ĐIỂM 1" sheetId="9" r:id="rId13"/>
    <sheet state="visible" name="BC CAO ĐIỂM" sheetId="10" r:id="rId14"/>
    <sheet state="visible" name="TIN BÀIPHÓNG SỰ" sheetId="11" r:id="rId15"/>
    <sheet state="hidden" name="TUYÊN TRUYỀN" sheetId="12" r:id="rId16"/>
    <sheet state="hidden" name="HUẤN LUYỆN" sheetId="13" r:id="rId17"/>
    <sheet state="hidden" name="PHƯƠNG ÁN" sheetId="14" r:id="rId18"/>
    <sheet state="visible" name="VỤ CHÁY THỐNG KÊ" sheetId="15" r:id="rId19"/>
    <sheet state="visible" name="SCLQ ĐẾN PCCC&amp;CNCH" sheetId="16" r:id="rId20"/>
    <sheet state="visible" name="CNCH" sheetId="17" r:id="rId21"/>
    <sheet state="visible" name="CHI VIỆN" sheetId="18" r:id="rId22"/>
  </sheets>
  <definedNames/>
  <calcPr/>
</workbook>
</file>

<file path=xl/sharedStrings.xml><?xml version="1.0" encoding="utf-8"?>
<sst xmlns="http://schemas.openxmlformats.org/spreadsheetml/2006/main" count="1403" uniqueCount="687">
  <si>
    <t>NGÀY</t>
  </si>
  <si>
    <t>THÁNG</t>
  </si>
  <si>
    <t>VỤ CHÁY VÀ CNCH</t>
  </si>
  <si>
    <t>CÔNG TÁC KIỂM TRA</t>
  </si>
  <si>
    <t>TUYÊN TRUYỀN PCCC</t>
  </si>
  <si>
    <t>HUẤN LUYỆN PCCC</t>
  </si>
  <si>
    <t>PACC&amp;CNCH của cơ sở theo mẫu PC06</t>
  </si>
  <si>
    <t>PACC&amp;CNCH của CQ CA theo mẫu PC08</t>
  </si>
  <si>
    <t>PA CNCH của CQ CA theo mẫu PC09</t>
  </si>
  <si>
    <t>PACC&amp;CNCH của phương tiện giao thông theo mẫu PC07</t>
  </si>
  <si>
    <t>VỤ CHÁY CÓ THỐNG KÊ</t>
  </si>
  <si>
    <t>SỰ CỐ LIÊN QUAN ĐẾN PCCC&amp;CNCH</t>
  </si>
  <si>
    <t>VỤ CHÁY CHI VIỆN</t>
  </si>
  <si>
    <t>CNCH</t>
  </si>
  <si>
    <t>NHÓM I</t>
  </si>
  <si>
    <t>NHÓM II</t>
  </si>
  <si>
    <t>ĐỘT XUẤT</t>
  </si>
  <si>
    <t>HƯỚNG DẪN</t>
  </si>
  <si>
    <t>KIẾN
NGHỊ</t>
  </si>
  <si>
    <t>XỬ PHẠT</t>
  </si>
  <si>
    <t>TIỀN PHẠT
(triệu đồng)</t>
  </si>
  <si>
    <t>ĐÌNH CHỈ</t>
  </si>
  <si>
    <t>PHỤC HỒI</t>
  </si>
  <si>
    <t>TIN BÀI, PHÓNG SỰ</t>
  </si>
  <si>
    <t>SỐ LỚP TUYÊN TRUYỀN</t>
  </si>
  <si>
    <t>SỐ NGƯỜI THAM DỰ</t>
  </si>
  <si>
    <t>SỐ KHUYẾN CÁO, TỜ RƠI ĐÃ PHÁT</t>
  </si>
  <si>
    <t>CÀI APP HELP 114</t>
  </si>
  <si>
    <t>SỐ LỚP HUẤN LUYỆN</t>
  </si>
  <si>
    <t>CẤP GIẤY CHỨNG NHẬN HUẤN LUYỆN NGHIỆP VỤ PCCC</t>
  </si>
  <si>
    <t>SỐ PA XÂY DỰNG VÀ PHÊ DUYỆT</t>
  </si>
  <si>
    <t>SỐ PA ĐƯỢC THỰC TẬP</t>
  </si>
  <si>
    <t>06 tháng đầu năm</t>
  </si>
  <si>
    <t>Tổng</t>
  </si>
  <si>
    <t>Từ 1/7 đến 13/11</t>
  </si>
  <si>
    <t>Từ 1/7 đến 13/12</t>
  </si>
  <si>
    <t>TỔNG TUYÊN TRUYỀN/HUẤN LUYỆN</t>
  </si>
  <si>
    <t>SỐ LỚP</t>
  </si>
  <si>
    <t>1 (2026)</t>
  </si>
  <si>
    <t>Thống kê T2 (14 - 28/02/26)</t>
  </si>
  <si>
    <t>Ghi chú</t>
  </si>
  <si>
    <t>VỤ CHÁY 
THỐNG KÊ</t>
  </si>
  <si>
    <t>SCLQ ĐẾN 
PCCC&amp;
CNCH</t>
  </si>
  <si>
    <t>CHI VIỆN</t>
  </si>
  <si>
    <t>ĐỊNH KỲ</t>
  </si>
  <si>
    <t>TIN BÀI</t>
  </si>
  <si>
    <t>PHÓNG SỰ</t>
  </si>
  <si>
    <t>01 cháy cỏ (CC)
01 cháy điện (KCC)</t>
  </si>
  <si>
    <t>01 cháy cỏ (CC)</t>
  </si>
  <si>
    <t>01 cháy điện (KCC)</t>
  </si>
  <si>
    <t>01 cháy do chập điện (KCC)</t>
  </si>
  <si>
    <t>01 cháy Công ty (CC)
01 cháy cỏ (CC)</t>
  </si>
  <si>
    <t>01 cháy cỏ
01 cháy điện
01 cháy nhà
01 VV ANTT</t>
  </si>
  <si>
    <t>01 cháy cỏ</t>
  </si>
  <si>
    <t>01 vụ cháy cỏ (KCC)</t>
  </si>
  <si>
    <t>01 vụ cháy cỏ (CC)</t>
  </si>
  <si>
    <t>02 vụ cháy cỏ (CC)</t>
  </si>
  <si>
    <t>01 cháy bãi rác (CC)</t>
  </si>
  <si>
    <t>01 vụ cháy cỏ (KCC)
01 vụ cháy chòi lá quán cafe (KCC)</t>
  </si>
  <si>
    <t>01 vụ cháy cỏ (CC)
01 vụ cháy cỏ (KCC)</t>
  </si>
  <si>
    <t>01 cháy bồn hút bụi (CC)
01 cháy cỏ (CC)
01 cháy cỏ (KCC)</t>
  </si>
  <si>
    <t>01 cháy trụ điện (CC)</t>
  </si>
  <si>
    <t>26/02-04/03/2026</t>
  </si>
  <si>
    <t>2 - 3</t>
  </si>
  <si>
    <t>05/03-11/03/2926</t>
  </si>
  <si>
    <t>12/03-18/03/2026</t>
  </si>
  <si>
    <t>19/3-25/3/2026</t>
  </si>
  <si>
    <t>26/3-01/4/2026</t>
  </si>
  <si>
    <t>02/4-08/4/2026</t>
  </si>
  <si>
    <t>09/4-15/4/2026</t>
  </si>
  <si>
    <t>16/4-22/4/2026</t>
  </si>
  <si>
    <t>23/4-29/4/2026</t>
  </si>
  <si>
    <t xml:space="preserve">Thống kê T2 (14 - 28/02/26)	</t>
  </si>
  <si>
    <t xml:space="preserve">Thống kê T3 (01 - 14/03/26)        </t>
  </si>
  <si>
    <t>T3</t>
  </si>
  <si>
    <t>T4</t>
  </si>
  <si>
    <t>QUÝ</t>
  </si>
  <si>
    <t>T1</t>
  </si>
  <si>
    <t>T2</t>
  </si>
  <si>
    <t>Quý I</t>
  </si>
  <si>
    <t>13/11-19/11/2025</t>
  </si>
  <si>
    <t>20/11-26/11/2025</t>
  </si>
  <si>
    <t>27/11-03/12/2025</t>
  </si>
  <si>
    <t>04/12-10/12/2025</t>
  </si>
  <si>
    <t>11/12-17/12/2025</t>
  </si>
  <si>
    <t>18/12-24/12/2025</t>
  </si>
  <si>
    <t>25/12- 31/12/2025</t>
  </si>
  <si>
    <t>01/01-07/01/2026</t>
  </si>
  <si>
    <t>08/01-14/01/2026</t>
  </si>
  <si>
    <t>15/01-21/01/2026</t>
  </si>
  <si>
    <t>22/01-28/01/2026</t>
  </si>
  <si>
    <t>29/01-04/02/2026</t>
  </si>
  <si>
    <t>05/02-11/02/2026</t>
  </si>
  <si>
    <t>12/02-18/02/2026</t>
  </si>
  <si>
    <t>19/02-25/02/2026</t>
  </si>
  <si>
    <t>CAO ĐIỂM</t>
  </si>
  <si>
    <t>15 đến 21/12/2025</t>
  </si>
  <si>
    <t>TUẦN 1</t>
  </si>
  <si>
    <t>22 đến 30/12/2025</t>
  </si>
  <si>
    <t>TUẦN 2</t>
  </si>
  <si>
    <t>15 đến 30/12/25</t>
  </si>
  <si>
    <t>Đợt 1</t>
  </si>
  <si>
    <t>31/12/25 đến 14/01/26</t>
  </si>
  <si>
    <t>Đợt 2</t>
  </si>
  <si>
    <t>23 đến 30/01</t>
  </si>
  <si>
    <t>TUẦN 6</t>
  </si>
  <si>
    <t>15 đến 30/01</t>
  </si>
  <si>
    <t>Đợt 3</t>
  </si>
  <si>
    <t>Từ 31/1 - 06/02</t>
  </si>
  <si>
    <t>TUẦN 7</t>
  </si>
  <si>
    <t>31/01 đến 13/02</t>
  </si>
  <si>
    <t>Đợt 4</t>
  </si>
  <si>
    <t>Từ 07/02 - 13/02</t>
  </si>
  <si>
    <t>TUẦN 8</t>
  </si>
  <si>
    <t>Từ 16/02-18/02</t>
  </si>
  <si>
    <t>03 ngày Tết Nguyên đán</t>
  </si>
  <si>
    <t>Từ 14/02-19/02</t>
  </si>
  <si>
    <t>06 ngày Tết Nguyên đán</t>
  </si>
  <si>
    <t>Từ 14/02 - 20/02</t>
  </si>
  <si>
    <t>TUẦN 9</t>
  </si>
  <si>
    <t>Từ 14/02-22/02</t>
  </si>
  <si>
    <t>09 ngày Tết Nguyên đán</t>
  </si>
  <si>
    <t>14/02 đến 27/02</t>
  </si>
  <si>
    <t>Đợt 5</t>
  </si>
  <si>
    <t>Từ 15/12/25 - 25/02/26</t>
  </si>
  <si>
    <t>Từ 21/02 - 27/02</t>
  </si>
  <si>
    <t>TUẦN 10</t>
  </si>
  <si>
    <t>28/02 - 07/03</t>
  </si>
  <si>
    <t>Tuần 11</t>
  </si>
  <si>
    <t>08/03 - 15/03</t>
  </si>
  <si>
    <t>Tuần 12</t>
  </si>
  <si>
    <t>28/02 đến 15/03</t>
  </si>
  <si>
    <t>Đợt 6</t>
  </si>
  <si>
    <t>Link</t>
  </si>
  <si>
    <t>Nội dung</t>
  </si>
  <si>
    <t>Tin bài</t>
  </si>
  <si>
    <t>Phóng sự</t>
  </si>
  <si>
    <t>https://kinhtedothi.vn/phuong-binh-duong-phat-dong-ung-ho-quy-vi-nguoi-ngheo-va-dong-bao-vung-lu.918756.html</t>
  </si>
  <si>
    <t>Ngày 27/11/2025, Phường Bình Dương phát động ủng hộ Quỹ Vì người nghèo và đồng bào vùng lũ</t>
  </si>
  <si>
    <t>https://www.facebook.com/share/p/1Azw965oiV/?mibextid=wwXIfr</t>
  </si>
  <si>
    <t>Vào lúc 19 giờ ngày 20/12/2025, Công an phường Bình Hòa đã phối hợp với Đội Cảnh sát PCCC&amp;CNCH Khu vực 30 tổ chức buổi tuyên truyền, phổ biến kiến thức pháp luật và kỹ năng về phòng cháy, chữa cháy và cứu nạn, cứu hộ cho các doanh nghiệp, hộ kinh doanh và nhà ở kết hợp sản xuất, kinh doanh trên địa bàn phường.</t>
  </si>
  <si>
    <t>https://nld.com.vn/500-nguoi-tham-gia-tap-huan-ve-pccc-cnch-196251226132353358.htm?gidzl=3qKALgxpo1m8MmnLhUl17WrU0LYmlfL5GW1P3-Mno4101muCiBJ3IqS30bFbvyCUHr5KKMEJXlL-hV3E6m</t>
  </si>
  <si>
    <t>Khoảng 500 người tại 50 đơn vị trên địa bàn phường Chánh Hiệp và Thủ Dầu Một, TPHCM tham gia lớp huấn luyện nghiệp vụ PCCC &amp; CNCH</t>
  </si>
  <si>
    <t>https://www.facebook.com/tuoitrethudaumot/posts/pfbid0S4QF27nhmmyEaRuNRfxNEHZDG3q2Q8UqFxsqxAsFjzkwpFmEiu2FrRizPDz8PEfal?rdid=5QPC5P5hZ1G5IYoY#</t>
  </si>
  <si>
    <t>CÙNG EM VỮNG BƯỚC” – TRANG BỊ KỸ NĂNG TỰ BẢO VỆ CHO THIẾU NHI</t>
  </si>
  <si>
    <t>https://www.youtube.com/watch?v=qREr7yXxc4U</t>
  </si>
  <si>
    <t>PHƯỜNG THUẬN GIAO TĂNG CƯỜNG TUYÊN TRUYỀN PCCC CHO HỘ GIA ĐÌNH, NHÀ Ở KẾT HỢP SẢN XUẤT KINH DOANH</t>
  </si>
  <si>
    <t>https://www.facebook.com/story.php?story_fbid=122128299765114472&amp;id=61583434160182&amp;mibextid=wwXIfr&amp;rdid=uz0XhH6Lkg78J5Ek#</t>
  </si>
  <si>
    <t>Ngày 29/12/2025, Tổ Cảnh sát trật tự Công an phường Phú Lợi phối hợp Đội CC&amp;CNCH khu vực 30 tiến hành khảo sát, tuyên truyền đối với nhà ở riêng lẻ kết hợp sản xuất, kinh doanh có lắp đặt bảng quảng cáo, cơi nới, lắp đặt, dựng khung - lưới - “chuồng cọp” gây cản trở thoát nạn</t>
  </si>
  <si>
    <t>https://nld.com.vn/van-dong-ho-kinh-doanh-thao-do-chuong-cop-196251229193350654.htm?gidzl=f1WMTvqXeMsZ1X1qdZYWQwm05NM9QwOvjLOVT8ezgckqK1XrYcclRhK65tRSQg1kj0KKS6OB2O0kdYAdQW</t>
  </si>
  <si>
    <t>Vận động hộ kinh doanh tháo dỡ "chuồng cọp"</t>
  </si>
  <si>
    <t>kết họp Đài truyền hình HTV quay phóng sự thực tập phương án cơ sở nguy cơ cháy nổ cao theo kế hoạch 2851/KH-PC07-KV30 ngày 24/12/2025 cho cty TNHH Chawk Technology Việt Nam, tại KCN Phú Tân, cho 25 Đội viên Đội PCCC&amp;CNCH cơ sở và 150 nhân viên cơ sở, (có hình ảnh kèm theo).</t>
  </si>
  <si>
    <t>https://www.facebook.com/share/v/17dSq1jazB/</t>
  </si>
  <si>
    <t>Phối hợp Công an phường Lái Thiêu tổ chức tuyên truyền, phổ biến pháp luật về PCCC&amp;CNCH, kỹ năng xử lý khi có sự cố cháy, nổ xảy ra cho lực lượng ANCS, lực lượng dân phòng, Chủ các hộ kinh doanh, Nhà để ở kết hợp SXKD trên địa bàn</t>
  </si>
  <si>
    <t>https://www.facebook.com/share/p/1Jo32XSzuK/?mibextid=wwXIfr</t>
  </si>
  <si>
    <t>Tuyên truyền PCCC &amp; CNCH - An toàn từ mỗi ngôi nhà</t>
  </si>
  <si>
    <t>https://www.facebook.com/share/v/1Fzf2pBiBw/</t>
  </si>
  <si>
    <t>Đội KV30 phối hợp với Công an phường An Phú tổ chức 01 Hội nghị tuyên truyền tăng cường giải pháp PCCC cho cán bộ, công chức, viên chức trên địa bàn phường An Phú</t>
  </si>
  <si>
    <t>https://youtu.be/sjIRrgt-npg?si=pwl5dfbRbc-sHF62</t>
  </si>
  <si>
    <t>Nâng cao công tác PCCC tại chợ truyền thống</t>
  </si>
  <si>
    <t>https://www.facebook.com/share/p/17wVQXDZLK/?mibextid=wwXIfr</t>
  </si>
  <si>
    <t>Cùng em vững bước” - Kỹ năng phòng cháy chữa cháy và cứu nạn, cứu hộ (20/01/2026)</t>
  </si>
  <si>
    <t>https://www.facebook.com/share/p/16Fz43T2YQ/?mibextid=wwXIfr</t>
  </si>
  <si>
    <t>HÀNH TRÌNH “CÙNG EM VỮNG BƯỚC” – KỸ NĂNG PHÒNG CHÁY, CHỮA CHÁY VÀ CỨU NẠN, CỨU HỘ 🚒 (27/01/2026)</t>
  </si>
  <si>
    <t>https://tuoitrethudo.vn/chu-dong-bao-dam-an-toan-pccc-tai-mieu-ba-thien-hau-300698.html</t>
  </si>
  <si>
    <t>Chủ động bảo đảm an toàn PCCC tại Miếu Bà Thiên Hậu (09/02/2026)</t>
  </si>
  <si>
    <t>https://ngaymoionline.com.vn/chu-dong-bao-dam-an-toan-phong-chay-chua-chay-tai-mieu-ba-thien-hau-truoc-mua-le-hoi-63330.html</t>
  </si>
  <si>
    <t>Chủ động bảo đảm an toàn phòng cháy, chữa cháy tại Miếu Bà Thiên Hậu trước mùa lễ hội (09/02/2026)</t>
  </si>
  <si>
    <t>https://youtu.be/qpeGkLQknmg?si=2T-9COJ-TQRLwwzY</t>
  </si>
  <si>
    <t>TĂNG CƯỜNG AN TOÀN PCCC CHỢ TRUYỀN THỐNG CAO ĐIỂM TẾT NGUYÊN ĐÁN (10/02/2026)</t>
  </si>
  <si>
    <t>https://baovanhoa.vn/doi-song/tphcm-chu-dong-phong-ngua-chay-no-tai-mieu-ba-thien-hau-truoc-mua-le-hoi-203978.html?zarsrc=30&amp;utm_source=zalo&amp;utm_medium=zalo&amp;utm_campaign=zalo</t>
  </si>
  <si>
    <t>Chủ động phòng ngừa cháy nổ tại Miếu Bà Thiên Hậu trước mùa lễ hội (10/02/2026)</t>
  </si>
  <si>
    <t>https://nld.com.vn/canh-bao-nguy-co-chay-no-trong-mua-hanh-kho-dip-tet-nguyen-dan-binh-ngo-196260210133738892.htm</t>
  </si>
  <si>
    <t>Cảnh báo nguy cơ cháy, nổ trong mùa hanh khô dịp Tết Nguyên đán Bính Ngọ(11/02/2026)</t>
  </si>
  <si>
    <t>https://nld.com.vn/cong-an-tphcm-tuyen-truyen-ve-chay-no-va-duoi-nuoc-tai-truong-hoc-19626032313495156.htm</t>
  </si>
  <si>
    <t>Tuyên truyền về phòng chống cháy nổ và đuối nước tại trường học (23/3/2026)</t>
  </si>
  <si>
    <r>
      <rPr>
        <rFont val="Times New Roman"/>
        <b/>
        <color rgb="FFFFFF00"/>
        <sz val="20.0"/>
      </rPr>
      <t>(Dùng hàm "=Counta()" để đếm ô có giá trị)</t>
    </r>
    <r>
      <rPr>
        <rFont val="Times New Roman"/>
        <b/>
        <color theme="1"/>
        <sz val="20.0"/>
      </rPr>
      <t xml:space="preserve"> Tổng:</t>
    </r>
  </si>
  <si>
    <t>THỐNG KÊ TUYÊN TRUYỀN</t>
  </si>
  <si>
    <t>STT</t>
  </si>
  <si>
    <t>Ngày, tháng tuyên truyền</t>
  </si>
  <si>
    <t>Tên cơ sở</t>
  </si>
  <si>
    <t>Địa chỉ</t>
  </si>
  <si>
    <t>Số người tham gia</t>
  </si>
  <si>
    <t>Tờ rơi</t>
  </si>
  <si>
    <t>App Help 114</t>
  </si>
  <si>
    <t>Trường Trung - Tiểu học Pétrus Ký</t>
  </si>
  <si>
    <t>Phường Thủ Dầu Một, thành phố Hồ Chí Minh</t>
  </si>
  <si>
    <t>Trường mầm non Hoạ Mi</t>
  </si>
  <si>
    <t>Phường Bình Dương, thành phố Hồ Chí Minh</t>
  </si>
  <si>
    <t>Phối hợp Phường, xã</t>
  </si>
  <si>
    <t>Trường mầm non Hoa Mai</t>
  </si>
  <si>
    <t>Chung cư First Home Bình Dương</t>
  </si>
  <si>
    <t xml:space="preserve"> Phường Thuận An, thành phố Hồ Chí Minh</t>
  </si>
  <si>
    <t>Phường Thuận Giao, thành phố Hồ Chí Minh</t>
  </si>
  <si>
    <t>Trường THPT Nguyễn Trãi</t>
  </si>
  <si>
    <t>Phường Lái Thiêu, thành phố Hồ Chí Minh</t>
  </si>
  <si>
    <t>Chung cư Opal Skyline</t>
  </si>
  <si>
    <t>Trung tâm văn hóa Phường Bình Hòa</t>
  </si>
  <si>
    <t>Phường Bình Hòa, thành phố Hồ CHí Minh</t>
  </si>
  <si>
    <t>Trường Tiểu Học Trần Phú</t>
  </si>
  <si>
    <t>phường Thủ Dầu Một, thành phố Hồ Chí Minh</t>
  </si>
  <si>
    <t xml:space="preserve">Các đối tượng lực lượng PCCC cơ sở 50 đơn vị </t>
  </si>
  <si>
    <t>Địa bàn phường Chánh Hiệp và Thủ Dầu Một</t>
  </si>
  <si>
    <t>CAP Thuận Giao</t>
  </si>
  <si>
    <t>Chung cư Happy ONe</t>
  </si>
  <si>
    <t>CAP Thuận An</t>
  </si>
  <si>
    <t>CAP Chánh Hiệp</t>
  </si>
  <si>
    <t>CAP Phú Lợi</t>
  </si>
  <si>
    <t>CAP Lái Thiêu</t>
  </si>
  <si>
    <t>Địa bàn phường Lái Thiêu</t>
  </si>
  <si>
    <t>CAP Thuận Giao và CAP Chánh Hiệp</t>
  </si>
  <si>
    <t>Địa bàn phường Thuận Giao và Chánh Hiệp</t>
  </si>
  <si>
    <t>CAP An Phú</t>
  </si>
  <si>
    <t>Địa bàn phường An Phú</t>
  </si>
  <si>
    <t>CAP Bình Dương</t>
  </si>
  <si>
    <t>Địa bàn phường Bình Dương</t>
  </si>
  <si>
    <t>Công ty TNHH Signal</t>
  </si>
  <si>
    <t>Trường mầm non Cộng Đồng Tí Hon</t>
  </si>
  <si>
    <t>Địa bàn phường Thủ Dầu Một</t>
  </si>
  <si>
    <t>Trường Cao đẳng Việt Hàn</t>
  </si>
  <si>
    <t>Địa bàn phường Phú Lợi</t>
  </si>
  <si>
    <t>Trường Tiểu học Tương Bình Hiệp</t>
  </si>
  <si>
    <t>Trường THCS Nguyễn Thị Minh Khai</t>
  </si>
  <si>
    <t>trường THCS Tương Bình Hiệp</t>
  </si>
  <si>
    <t>Địa bàn phường Chánh Hiệp</t>
  </si>
  <si>
    <t xml:space="preserve">trường Tiểu học Nguyễn Trãi </t>
  </si>
  <si>
    <t>THỐNG KÊ HUẤN LUYỆN</t>
  </si>
  <si>
    <t>Ngày, tháng huấn luyện</t>
  </si>
  <si>
    <t>Công ty TNHH Onamba Việt Nam</t>
  </si>
  <si>
    <t>Công ty TNHH SNP</t>
  </si>
  <si>
    <t>Công ty TNHH Yokohama Tyre VN</t>
  </si>
  <si>
    <t>Công ty TNHH Nitto Denko Việt Nam</t>
  </si>
  <si>
    <t>Công ty CP Sữa VN - Nhà máy Sữa Bột VN</t>
  </si>
  <si>
    <t>Công ty TNHH Công Nghệ In Alliance; 
Công ty TNHH TSUCHIYA TSCO (Việt Nam); 
Công ty TNHH trung tâm thép NST Sài Gòn; 
Công ty TNHH Việt Nam Dong Yun Plate Making; 
Công ty TNHH NATco (Việt Nam) tại Đội KV30;</t>
  </si>
  <si>
    <t>Công ty TNHH Shuan Hwa Industrial VN</t>
  </si>
  <si>
    <t>Công ty TNHH nhựa Việt Nam; đường số 6, KCN Sóng Thần 3, phường Bình Dương</t>
  </si>
  <si>
    <t>Công Ty Cổ Phần Đầu Tư Sản Xuất Thương Mại Tín An</t>
  </si>
  <si>
    <t>Công ty TNHH Sycamore</t>
  </si>
  <si>
    <t>Công ty TNHH Mapletree</t>
  </si>
  <si>
    <r>
      <rPr>
        <rFont val="Times New Roman"/>
        <color theme="1"/>
        <sz val="18.0"/>
      </rPr>
      <t>Công ty TNHH Mapletree Logistics Park</t>
    </r>
    <r>
      <rPr>
        <rFont val="Times New Roman"/>
        <color theme="1"/>
        <sz val="18.0"/>
      </rPr>
      <t>; Công ty TNHH Buyemd Logistics; Công ty TNHH Dược phẩm MEDX; Công ty TNHH GlaxoSmithKline hàng tiêu dùng và chăm sóc sức khỏe Việt Nam; Công ty TNHH Blum Việt Nam; Công ty Cổ phần The Supra; Công ty TNHH LF Logistics Việt Nam; Công ty TNHH Crown Worldwide; Công ty TNHH Circa Pharmacy</t>
    </r>
  </si>
  <si>
    <t>HL chung trong 3 ngày, 10/12/2025 đã báo</t>
  </si>
  <si>
    <t>Công ty TNHH Sansho Việt Nam</t>
  </si>
  <si>
    <t>Công ty TNHH Mapletree 1 Warehouse ( Việt Nam)</t>
  </si>
  <si>
    <t>Chi Nhánh Công ty TNHH Sản Xuất Giày Dép Grand Gain</t>
  </si>
  <si>
    <t>Huấn luyện nghiệp vụ + Thực tập phương án</t>
  </si>
  <si>
    <t>Công ty TNHH DAE YOUNG HARNESS VINA</t>
  </si>
  <si>
    <t>Công ty TNHH Sohwa Sài Gòn.</t>
  </si>
  <si>
    <t xml:space="preserve">Công ty TNHH DDK Việt Nam
</t>
  </si>
  <si>
    <t>13/13/2025</t>
  </si>
  <si>
    <t>Công ty TNHH Liên Doanh Stellapharm</t>
  </si>
  <si>
    <t>Công ty TNHH Việt Nam TNT Fibers</t>
  </si>
  <si>
    <t xml:space="preserve">Công ty TNHH Hi-tech Wines Asia </t>
  </si>
  <si>
    <t>Công ty TNHH Mega Step Electronics VN</t>
  </si>
  <si>
    <t>Công ty hóa keo Bình Thạnh</t>
  </si>
  <si>
    <t xml:space="preserve">Công ty Cổ phần Việt Hương </t>
  </si>
  <si>
    <t>Công ty Cổ phần Dược phẩm Imexpharm</t>
  </si>
  <si>
    <t>Công ty TNHH Liên doanh Việt Thái Plastchem</t>
  </si>
  <si>
    <t>Công ty TNHH Detmold Packaging Việt Nam</t>
  </si>
  <si>
    <t>Công ty ô tô Toyota Việt Nam tại TP.Hồ Chí Minh</t>
  </si>
  <si>
    <t xml:space="preserve">Công ty TNHH Bình Dương Chinh Long </t>
  </si>
  <si>
    <t>Công ty Khuôn Ngải Thành + Chánh Phẩm</t>
  </si>
  <si>
    <t>Công ty TNHH VIỆT NAM E.C.I ELASTIC</t>
  </si>
  <si>
    <t>CÔNG TY TNHH TAHSING ELECTRIC WIRE &amp; CABLE VN</t>
  </si>
  <si>
    <t>Công ty TNHH Yuwa VN</t>
  </si>
  <si>
    <t>Công ty TNHH MTV Modelleisenbahn VN</t>
  </si>
  <si>
    <t>Công ty TING SHO + Công ty TNHH JHan Yue Garment VN</t>
  </si>
  <si>
    <t>Công ty TNHH Điện Tử Foster VN</t>
  </si>
  <si>
    <t>Công ty TNHH CCL Label VN</t>
  </si>
  <si>
    <t>CÔNG TY TNHH HYUN DAE SM VINA</t>
  </si>
  <si>
    <t>Công ty TNHH Hercules VN</t>
  </si>
  <si>
    <t>Công Ty TNHH  Thêu Dương Thăng</t>
  </si>
  <si>
    <t>Công ty TNHH Box-Pak VN</t>
  </si>
  <si>
    <t>Công ty CP SXTM Nhật Tân</t>
  </si>
  <si>
    <t>Công ty TNHH Tribeco Bình Dương</t>
  </si>
  <si>
    <t>Trường mầm non Trúc Xanh</t>
  </si>
  <si>
    <t>CÔNG TY TNHH SEO KWANG VINA E.V.A</t>
  </si>
  <si>
    <t>Công Ty TNHH Nippon Chemiphar VN</t>
  </si>
  <si>
    <t>Công ty TNHH Nội thất MêKông</t>
  </si>
  <si>
    <t xml:space="preserve">Công ty TNHH Chaei Yang Việt Nam </t>
  </si>
  <si>
    <t>Công Ty TNHH Key Plastics</t>
  </si>
  <si>
    <t>Công ty TNHH Omron Healthcare Manufacturing VN</t>
  </si>
  <si>
    <t>CÔNG TY CỔ PHẦN MONDELEZ KINH ĐÔ VN</t>
  </si>
  <si>
    <t>Công ty TNHH thực phẩm Pepsico VN</t>
  </si>
  <si>
    <t>Công ty TNHH Ka Hong</t>
  </si>
  <si>
    <t>Công Ty TNHH VINA SHOWA</t>
  </si>
  <si>
    <t>Công ty TNHH PHIL INTER PHARMA</t>
  </si>
  <si>
    <t>Công ty TNHH Asuzac ACM</t>
  </si>
  <si>
    <t>Công ty TNHH NIDEC SV PROBE VN</t>
  </si>
  <si>
    <t>Công ty TNHH Puwote Technology VN</t>
  </si>
  <si>
    <t>Công ty TNHH Kyoritsu Bussan VN</t>
  </si>
  <si>
    <t>Huấn luyện nghiệp vụ PCCC cho đối tượng là thành viên Đội PCCC cơ sở và người thực hiện nhiệm vụ PCCC cơ sở của các cơ quan doanh nghiệp trên địa bàn phường Chánh Hiệp</t>
  </si>
  <si>
    <t>Công ty TNHH Bình Đông Sài Gòn</t>
  </si>
  <si>
    <t>Công ty TNHH gốm sứ Minh Phát phân xưởng 1, 2,4
Công ty TNHH gốm sứ Minh Phát phân xưởng 3</t>
  </si>
  <si>
    <t>Công ty TNHH Leading Star VN</t>
  </si>
  <si>
    <t>CÔNG TY TNHH VIỆT NAM JANIE COLOR PLASTICS</t>
  </si>
  <si>
    <t>Công ty TNHH Long Vân</t>
  </si>
  <si>
    <t>Công ty TNHH Finect</t>
  </si>
  <si>
    <t>Công ty TNHH Therm-X System VN</t>
  </si>
  <si>
    <t>công ty MUSASHI</t>
  </si>
  <si>
    <t>Công ty TNHH Nagai + Công ty TNHH Posco + Cty Daily Fully</t>
  </si>
  <si>
    <t>Công ty TNHH Uchihashi</t>
  </si>
  <si>
    <t>Công ty cổ phần Trần Đức</t>
  </si>
  <si>
    <t>Công ty TNHH may mặc Hung Kiu</t>
  </si>
  <si>
    <t>Công ty TNHH Zeng Hsing</t>
  </si>
  <si>
    <t>Công ty TNHH Thiên Phúc Lộc TPL; Công ty TNHH dịch vụ giải trí Karaoke Như Ý; Công ty TNHH TM XNK Hà Khánh; Công ty TNHH dược phẩm Fitopharma; CN Công ty TNHH Jang Trim; Công ty TNHH giáo dục Hạnh Phúc Trẻ Thơ; Công ty TNHH TM DV SX sự kiện quảng cáo Mạnh Thái; Công ty TNHH sản xuất thương mại xây dựng cơ khí Việt Minh Long; Công ty cổ phần Hạo Phương; Công ty TNHH Thương mại - Kỹ thuật- Dịch vụ Hiệp Thành; CN Công ty CPTM Nguyễn Kim - TTMS Nguyễn Kim Thuận An; Công ty TNHH In ấn Bao Bì Việt Phát</t>
  </si>
  <si>
    <t>Công ty TNHH Sài Gòn Knitwear</t>
  </si>
  <si>
    <t xml:space="preserve">Trường Trung - Tiểu học - Pétrus Ký </t>
  </si>
  <si>
    <t>Chi nhánh Công ty TNHH Oupeng Funiture Việt Nam</t>
  </si>
  <si>
    <t>Công ty TNHH Dynamo VN</t>
  </si>
  <si>
    <t>Công ty TNHH Ngói Bê Tông SCG</t>
  </si>
  <si>
    <t>công ty TNHH Pungkook Sài Gòn III</t>
  </si>
  <si>
    <t>Công ty TNHH Alkana VN</t>
  </si>
  <si>
    <t>Công ty TNHH Boston</t>
  </si>
  <si>
    <t>Công ty TNHH Givaudan</t>
  </si>
  <si>
    <t>Công ty TNHH Tokyu (trung tâm mua sắm Sora Gardens SC)</t>
  </si>
  <si>
    <t>Công ty TNHH Abbott Healthcare VN</t>
  </si>
  <si>
    <t>Khách sạn Hiive Bình Dương</t>
  </si>
  <si>
    <t xml:space="preserve"> Công ty TNHH Multi- Color VN</t>
  </si>
  <si>
    <t>Công ty TNHH Chiến Thắng</t>
  </si>
  <si>
    <t xml:space="preserve">  Công ty TNHH Fischer Asia</t>
  </si>
  <si>
    <t xml:space="preserve"> Công ty TNHH Thiết Chưởng</t>
  </si>
  <si>
    <t xml:space="preserve">     Công ty Cổ phần Bệnh viện đa khoa Quốc tế Hạnh Phúc</t>
  </si>
  <si>
    <t>Công ty TNHH Rheem VN</t>
  </si>
  <si>
    <t>Công ty cổ phần thực phẩm Sun Do- Chi nhánh Bình Dương</t>
  </si>
  <si>
    <t>Chi nhánh Resan tis Việt Nam- Công ty TNHH MTV Dược Sài Gòn</t>
  </si>
  <si>
    <t>Công ty TNHH Insulpack VN</t>
  </si>
  <si>
    <t>Công ty TNHH TM DV ô tô Hòa Bình Minh</t>
  </si>
  <si>
    <t>Công ty TNHH ASG</t>
  </si>
  <si>
    <t>Cụm Công Nghiệp Phú Chánh, Phường Bình Dương, TP. HCM</t>
  </si>
  <si>
    <t>Chi nhánh Công ty cổ phần vận tải và dịch vụ vận tải Bình Dương</t>
  </si>
  <si>
    <t>Công ty TNHH Toyota Thuận An</t>
  </si>
  <si>
    <t>Công ty TNHH Công nghiệp WEi Sing; Cụm sản xuất Bình Chuẩn</t>
  </si>
  <si>
    <t>Công ty TNHH YCH PROTRADE</t>
  </si>
  <si>
    <t>Công ty TNHH Sơn Tison</t>
  </si>
  <si>
    <t>Công ty TNHH Phú An</t>
  </si>
  <si>
    <t>Công ty TNHH SX Giày Hoa Thành; Chi nhánh công ty TNHH Lập Bình</t>
  </si>
  <si>
    <t>Công ty TNHH ECLipSe Polymers Vina</t>
  </si>
  <si>
    <t>CÔNG TY TNHH QUỐC TẾ 37</t>
  </si>
  <si>
    <t>Chi nhánh Công ty TNHH Siemens tại thành phố Hồ Chí Minh</t>
  </si>
  <si>
    <t>Công ty TNHH MP Land</t>
  </si>
  <si>
    <t>Công ty TNHH Nitto DenKo Việt Nam</t>
  </si>
  <si>
    <t>Công ty TNHH ODA Việt Nam</t>
  </si>
  <si>
    <t>Công ty TNHH Leader One Việt Nam</t>
  </si>
  <si>
    <t>CÔNG TY TNHH MAY MẶC SUNTEX (VIỆT NAM)</t>
  </si>
  <si>
    <t>Công ty TNHH Mỹ Nghệ Kim Hoa; Công ty TNHH LuYu; Công ty cổ phần Nghĩa Thành Viễn Đông; Công ty TNHH Steinet ( Việt Nam); Trường mầm non ngôi sao nhỏ CN Công ty Cổ phần dầu khí Phú Thái</t>
  </si>
  <si>
    <t>Công ty TNHH DAE YOUNG TECH VINA</t>
  </si>
  <si>
    <t>Công ty TNHH Hải Ân</t>
  </si>
  <si>
    <t>Trường mầm non Vầng Dương</t>
  </si>
  <si>
    <t xml:space="preserve">CTY TNHH SA CO BÌNH DƯƠNG  </t>
  </si>
  <si>
    <t>Công ty Cổ Phần Công Nghệ &amp; Truyền Thông Việt Nam</t>
  </si>
  <si>
    <t>CTY TNHH KOREA FOAM</t>
  </si>
  <si>
    <t>Công ty TNHH SX BesTone</t>
  </si>
  <si>
    <t>Công ty TNHH  Hiệp Lợi</t>
  </si>
  <si>
    <t>Chi nhánh Công ty TNHH NISSEI ECO VIỆT NAM</t>
  </si>
  <si>
    <t>Chi nhánh Công ty Cổ phần TICO</t>
  </si>
  <si>
    <t>Công ty TNHH Rohto- Mentholatum</t>
  </si>
  <si>
    <t xml:space="preserve">Chi Nhánh Đồng An 2 Công ty TNHH GSD Precision (Việt Nam) </t>
  </si>
  <si>
    <t>Công ty TNHH nhựa Ravenseal</t>
  </si>
  <si>
    <t>Công ty TNHH Volbin Electric Engineering Technology (Việt Nam)</t>
  </si>
  <si>
    <t>Công ty TNHH Uchiyama Việt Nam.</t>
  </si>
  <si>
    <t>Công ty TNHH Sơn Hoa Việt</t>
  </si>
  <si>
    <t>CÔNG TY TNHH ASIA PAIN</t>
  </si>
  <si>
    <t>Công ty TNHH First Stationery</t>
  </si>
  <si>
    <t>Công ty new sweet house</t>
  </si>
  <si>
    <t>Công ty TNHH Chen Zhan Việt Nam</t>
  </si>
  <si>
    <t>Công ty TNHH Phát Triển</t>
  </si>
  <si>
    <t>Cty cổ phần TM&amp;SX nội thất The One</t>
  </si>
  <si>
    <t>Công Ty TNHH Sun Yin Việt Nam</t>
  </si>
  <si>
    <t>Công ty TNHH Quốc tế nhựa Việt Hoa</t>
  </si>
  <si>
    <t>Công ty TNHH Sunyin</t>
  </si>
  <si>
    <t>Công ty TNHH MInh Long I</t>
  </si>
  <si>
    <t xml:space="preserve">Công Ty TNHH MTV Thánh Khôn </t>
  </si>
  <si>
    <t>Công ty TNHH R-Pac Việt Nam</t>
  </si>
  <si>
    <t>Công ty TNHH SXTMDV Hồng Lâm</t>
  </si>
  <si>
    <t>CÔNG TY CP THUỐC THÚ Y TW NAVETCO</t>
  </si>
  <si>
    <t>Công ty TNHH Jia Tai</t>
  </si>
  <si>
    <t>Công ty TNHH Aeon Mail Việt Nam</t>
  </si>
  <si>
    <t>Công ty TNHH KING MAKER</t>
  </si>
  <si>
    <t>Công ty TNHH Techtronic Industries Việt Nam Manufacturing</t>
  </si>
  <si>
    <t>Công ty TNHH BW Supply Chain City</t>
  </si>
  <si>
    <t>Công ty TNHH EVOCO VIỆT NAM</t>
  </si>
  <si>
    <t>Công ty TNHH Thaco Auto Bình Dương</t>
  </si>
  <si>
    <t>Công Ty TNHH Jing Tai</t>
  </si>
  <si>
    <t>Công ty cổ phần Ô tô Jac VN</t>
  </si>
  <si>
    <t>Công ty TNHH in ấn Fusion</t>
  </si>
  <si>
    <t>Công ty CP - Tổng công ty nước và môi trường Bình Dương</t>
  </si>
  <si>
    <t>Công ty TNHH Phú Thái Việt Nam</t>
  </si>
  <si>
    <t>Công ty Wus Tech (Vietnam) và Công ty Euro-Viet Precision Industry</t>
  </si>
  <si>
    <t>Công ty TNHH Kết Cấu Thép Toàn Cầu Vina-Japan</t>
  </si>
  <si>
    <t>Công Ty Cổ Phần Bệnh Viện Đa Khoa An Phú</t>
  </si>
  <si>
    <t>Công ty TNHH Foremost Gulf International</t>
  </si>
  <si>
    <t>CÔNG TY TNHH NHỰA CHINLI</t>
  </si>
  <si>
    <t>Công ty TNHH Việt Nam Chuân Mao</t>
  </si>
  <si>
    <t>CÔNG TY CỔ PHẦN GREATREE INDUSTRIAL</t>
  </si>
  <si>
    <t>THỐNG KÊ PHƯƠNG ÁN</t>
  </si>
  <si>
    <t>Ngày, tháng TTPA</t>
  </si>
  <si>
    <t>Tên cơ sở được thực tập</t>
  </si>
  <si>
    <t>Số lượng xe xuất</t>
  </si>
  <si>
    <t>Công  ty TNHH Aeon Việt Nam Chi nhánh Bình Dương</t>
  </si>
  <si>
    <t>Số 1, Đại Lộ Bình Dương, Khu phố Bình Giao, phường Thuận Giao, thành phố Hồ Chí Minh, Việt Nam</t>
  </si>
  <si>
    <t>Phường Thuận An, thành phố Hồ Chí Minh</t>
  </si>
  <si>
    <t>Sân Golf Sông Bé</t>
  </si>
  <si>
    <t>Công ty Cổ phần đầu tư sản xuất thương mại Tín An</t>
  </si>
  <si>
    <t>Lô B1, đường D3, Khu công nghiệp Đồng An, phường Bình Dương, TP. Hồ Chí Minh, Việt Nam</t>
  </si>
  <si>
    <t>Nhà xưởng 20, Đường Tiên Phong 16, Giai đoạn 3A2-2, KCN BW Supply Chain City, Phường Bình Dương, Thành phố Hồ Chí Minh, Việt Nam</t>
  </si>
  <si>
    <t>Công ty TNHH Hóa keo Bình Thạnh</t>
  </si>
  <si>
    <t>Thửa đất số 181, 155, tổ 4, khu phố Bình Phước B, phường An Phú, thành phố Hồ Chí Minh</t>
  </si>
  <si>
    <t>Công ty cổ phần Nhựa Tín Kim</t>
  </si>
  <si>
    <t>KCN Đồng An 2</t>
  </si>
  <si>
    <t>Công ty TNHH  MM Mega Market (việt nam) Chi nhánh Bình Dương</t>
  </si>
  <si>
    <t>Đại Lộ Bình Dương, Phường Thủ Dầu Một, TP. Hồ Chí Minh</t>
  </si>
  <si>
    <t>KCN Đai Đăng, phường Bình Dương</t>
  </si>
  <si>
    <t>Công ty cổ phần nhựa Thiếu Niên Tiền Phong Phía Nam</t>
  </si>
  <si>
    <t xml:space="preserve">Công ty TNHH Bệnh viện đa khoa Phương Chi </t>
  </si>
  <si>
    <t>Công ty TNHH MTV Modelleisenbahn Việt Nam</t>
  </si>
  <si>
    <t>KCN BW, phường Bình Dương</t>
  </si>
  <si>
    <t>Công ty TING SHO + Công ty TNHH Jhan Yue Garment VN</t>
  </si>
  <si>
    <t>KCN Đại Đăng, phường Bình Dương</t>
  </si>
  <si>
    <t>Công ty TNHH Seo Kwang Vina E.V.A</t>
  </si>
  <si>
    <t>Bình Chuẩn 62, khu phố Bình Phước B, thành phố Hồ Chí Minh</t>
  </si>
  <si>
    <t>Phường Lái Thiêu, thành phồ Hồ Chí Minh</t>
  </si>
  <si>
    <t>Công ty Cổ phần MODELEZ Kinh Đô</t>
  </si>
  <si>
    <t>KCN VSIP I</t>
  </si>
  <si>
    <t>Báo cáo Bù vào ngày 24/12/2025</t>
  </si>
  <si>
    <t>Công ty TNHH Chaei Yang Việt Nam</t>
  </si>
  <si>
    <t>Công ty TNHH Ka Hong (Việt Nam)</t>
  </si>
  <si>
    <t>Trung tâm thương mại siêu thị Lotte Mart</t>
  </si>
  <si>
    <t>Phường Lái Thiêu, TP Hồ Chí Minh</t>
  </si>
  <si>
    <t>Công ty TNHH Dynamo Việt Nam</t>
  </si>
  <si>
    <t>Công ty TNHH giặt tẩy Bến Nghé</t>
  </si>
  <si>
    <t>Công ty Cổ phần Bệnh viện quốc tế Hạnh Phúc</t>
  </si>
  <si>
    <t>Công ty TNHH Đại Tây Dương</t>
  </si>
  <si>
    <t>Công ty TNHH Minh Long I</t>
  </si>
  <si>
    <t>Công ty TNHH Vascogarmens</t>
  </si>
  <si>
    <t>Vụ cháy CÓ Thống kê</t>
  </si>
  <si>
    <t>NGÀY XẢY RA VỤ CHÁY</t>
  </si>
  <si>
    <t>VỤ CHÁY</t>
  </si>
  <si>
    <t>THỜI GIAN</t>
  </si>
  <si>
    <t>ĐỊA ĐIỂM</t>
  </si>
  <si>
    <t>PHÂN LOẠI</t>
  </si>
  <si>
    <t>NGUYÊN NHÂN</t>
  </si>
  <si>
    <t>THIỆT HẠI VỀ NGƯỜI</t>
  </si>
  <si>
    <t>THIỆT HẠI TÀI SẢN</t>
  </si>
  <si>
    <t>TÀI SẢN CỨU CHỮA</t>
  </si>
  <si>
    <t>THỜI GIAN TỚI ĐÁM CHÁY</t>
  </si>
  <si>
    <t>THỜI GIAN KHỐNG CHẾ</t>
  </si>
  <si>
    <t>THỜI GIAN DẬP TẮT HOÀN TOÀN</t>
  </si>
  <si>
    <t>SỐ LƯỢNG XE</t>
  </si>
  <si>
    <t>CHỈ HUY CHỮA CHÁY</t>
  </si>
  <si>
    <t>GHI CHÚ</t>
  </si>
  <si>
    <t>Chi nhánh Công ty TNHH Thương mại dịch vụ Đức Anh Phát</t>
  </si>
  <si>
    <t>01 giờ 30 phút</t>
  </si>
  <si>
    <t>Thửa đất số 478, tờ bản đồ số 80, khu phố 1B, phường An Phú, Thành phố Hồ Chí Minh</t>
  </si>
  <si>
    <t>Đang điều tra</t>
  </si>
  <si>
    <t>01 giờ 40 phút, ngày 23/11/2025</t>
  </si>
  <si>
    <t>21 giờ 20 phút, ngày 23/11/2025</t>
  </si>
  <si>
    <t>Thượng tá Lê Quốc Bảo, Phó Trưởng phòng.</t>
  </si>
  <si>
    <t>Cháy 02 đầu kéo mang biển kiểm soát: 95H-006.11 và 95H-003.11</t>
  </si>
  <si>
    <t>10 giờ 03 phút</t>
  </si>
  <si>
    <t>Thửa đất số 810, tờ bản đồ số DC3-3, Khu phố Hòa Long, Phường Lái Thiêu, thành phố Hồ Chí Minh</t>
  </si>
  <si>
    <t>Do sự cố chạm chập đường dây dẫn điện</t>
  </si>
  <si>
    <t>10 giờ 20 phút ngày 17/01/2026</t>
  </si>
  <si>
    <t>10 giờ 40 phút ngày 17/01/2026</t>
  </si>
  <si>
    <t>Thiếu tá Tô Ngọc Thanh, Phó Đội trưởng</t>
  </si>
  <si>
    <t>Cháy phòng kỹ thuật, tầng 4 khu chung cư Hoà Bình (Chung cư cao 23 tầng nổi và 02 tầng hầm)</t>
  </si>
  <si>
    <t>17 giờ 39 phút</t>
  </si>
  <si>
    <t>phường Bình Hoà, Thành phố Hồ Chí Minh</t>
  </si>
  <si>
    <t>Chống cháy lan ra các khu vực xung quanh (các hộ gia đình)</t>
  </si>
  <si>
    <t>17 giờ 43 phút ngày 31/01/2026</t>
  </si>
  <si>
    <t>18 giờ 00 phút ngày 31/01/2026</t>
  </si>
  <si>
    <t>Cháy xe tải mang biển kiểm soát: 51C - 455.38 tại bãi xe ô tô của Công ty Cổ phần Vận tải Giao nhận TM Thành Đạt</t>
  </si>
  <si>
    <t xml:space="preserve">14 giờ 03 phút </t>
  </si>
  <si>
    <t>đường Thuận Giao 25, phường Thuận Giao, Thành phố Hồ Chí Minh</t>
  </si>
  <si>
    <t>theo nhận định ban của nhân viên công ty là ôtô tự cháy</t>
  </si>
  <si>
    <t>14 giờ 17 phút
ngày 20/02/2026</t>
  </si>
  <si>
    <t>Đại uý Nguyễn Nguyên Anh</t>
  </si>
  <si>
    <t>Địa điểm kinh doanh - Công ty TNHH Chuangyu Bình Dương</t>
  </si>
  <si>
    <t>17 giờ 20 phút</t>
  </si>
  <si>
    <t>Số 179 đường DX 77, phường Chánh Hiệp, thành phố Hồ Chí Minh</t>
  </si>
  <si>
    <t>01 người bị thương</t>
  </si>
  <si>
    <t>17 giờ 25 phút</t>
  </si>
  <si>
    <t>18 giờ 45 phút</t>
  </si>
  <si>
    <t>19 giờ 25 phút ngày 24/3/2026</t>
  </si>
  <si>
    <t>Thiếu tá Hoàng Duy Nam - Đội trưởng</t>
  </si>
  <si>
    <t>Không thuộc diện quản lý về PCCC</t>
  </si>
  <si>
    <t>VỤ CHÁY NGÀY</t>
  </si>
  <si>
    <t>THIỆT HẠI</t>
  </si>
  <si>
    <t>78, Đại lộ Bình Dương (Quốc lộ 13), phường Lái Thiêu, Thành phố Hồ Chí Minh</t>
  </si>
  <si>
    <t>Chạm chập dây dẫn điện</t>
  </si>
  <si>
    <t>Không</t>
  </si>
  <si>
    <t>4/1B khu phố Hoà Long, phường Lái Thiêu, Thành phố Hồ Chí Minh</t>
  </si>
  <si>
    <t>Do chạm chập pin trên xe gây cháy pin</t>
  </si>
  <si>
    <t>13B/10A, Đường D2, khu phố Bình Thuận 2, Phường Thuận Giao, Thành phố Hồ Chí Minh</t>
  </si>
  <si>
    <t>Do thắp nến (đèn cầy) trên bàn thờ</t>
  </si>
  <si>
    <t>Số A18B, khu phố Bình Đức, phường Lái Thiêu, Thành phố Hồ Chí Minh</t>
  </si>
  <si>
    <t>Cháy củi, gỗ trên xe tải BKS 60C-121.22, địa chỉ: đường An Phú 35, phường An Phú, Thành phố Hồ Chí Minh</t>
  </si>
  <si>
    <t>Đường Võ Văn Kiệt, phường Hòa Phú, Thành phố Hồ Chí Minh</t>
  </si>
  <si>
    <t>Cháy cỏ</t>
  </si>
  <si>
    <t>Công ty TNHH Bình Đông Sài Gòn, địa chỉ: số 338/2, khu phố 1B, phường An Phú, Thành phố Hồ Chí Minh</t>
  </si>
  <si>
    <t>Chập điện tại bộ phận sạc</t>
  </si>
  <si>
    <t>Số 566 đường Nguyễn Thị Minh Khai, phường Phú Lợi, Thành phố Hồ Chí Minh.</t>
  </si>
  <si>
    <t>Đường Bùi Văn Bình, phường Phú Lợi, Thành phố Hồ Chí Minh</t>
  </si>
  <si>
    <t>Bãi phế liệu của ông Nguyễn Văn Trung, Số nhà 1263, đường Mỹ Phước Tân Vạn, khu phố Phú Mỹ 1, phường Bình Dương, Thành phố Hồ Chí Minh</t>
  </si>
  <si>
    <t>Chập điện</t>
  </si>
  <si>
    <t>số 41/12, đường Lê Hồng Phong, phường Phú Lợi, Thành phố Hồ Chí Minh</t>
  </si>
  <si>
    <t>Đường Mỹ Phước Tân Vạn, khu phố 1A, phường An Phú, Thành phố Hồ Chí Minh</t>
  </si>
  <si>
    <t>Thiếu tá Lê Minh Thành</t>
  </si>
  <si>
    <t>Đường Thuận Giao 25, khu phố Bình Thuận 2, phường Thuận Giao, Thành phố Hồ Chí Minh</t>
  </si>
  <si>
    <t>Thiếu tá Nguyễn Lâm Vũ</t>
  </si>
  <si>
    <t>Đường X3, khu phố 3, phường An Phú, Thành phố Hồ Chí Minh</t>
  </si>
  <si>
    <t>Cháy bồn hút bụi, Chi nhánh Công ty TNHH Trường Linh Phát, địa chỉ: số 1/57 khu phố Bình Thuận 2, phường Thuận Giao, Thành phố Hồ Chí Minh</t>
  </si>
  <si>
    <t>Ma sát tạo tia lửa</t>
  </si>
  <si>
    <t>Trung tá Nguyễn Ngọc Yến</t>
  </si>
  <si>
    <t>11 giờ 14 phút</t>
  </si>
  <si>
    <t>Khu phố 1B, phường An Phú, Thành phố Hồ Chí Minh.</t>
  </si>
  <si>
    <t>15 giờ 30</t>
  </si>
  <si>
    <t>T19/6M khu phố Bình Thuận 2, đường Thuận Giao 25, phường Thuận Giao, Thành phố Hồ Chí Minh</t>
  </si>
  <si>
    <t>Cháy rác</t>
  </si>
  <si>
    <t>23 giờ 26 phút</t>
  </si>
  <si>
    <t>đường Đại lộ Bình Dương, phường Phú Lợi, Thành phố Hồ Chí Minh</t>
  </si>
  <si>
    <t xml:space="preserve">Thiếu tá Lê Minh Thành	</t>
  </si>
  <si>
    <t>đường Võ Văn Kiệt, phường Bình Dương, Thành phố Hồ Chí Minh</t>
  </si>
  <si>
    <t>17 giờ 15 phút</t>
  </si>
  <si>
    <t>401 Đường CMT8, P. Thủ Dầu Một, Thành phố Hồ Chí Minh</t>
  </si>
  <si>
    <t>20 giờ 08 phút</t>
  </si>
  <si>
    <t>Sân Golf Sông bé, đường Nguyễn Hữu Cảnh, Khu phố Bình Hòa, P. Lái Thiêu. TP. HCM</t>
  </si>
  <si>
    <t>Cháy điện</t>
  </si>
  <si>
    <t>Thiếu tá Tô Ngọc Thanh</t>
  </si>
  <si>
    <t>08 giờ 04 phút</t>
  </si>
  <si>
    <t>Đường Thuận Giao 05, Kp. Bình Thuận, P. Thuận Giao, TP. HCM</t>
  </si>
  <si>
    <t>15 giờ 50 phút</t>
  </si>
  <si>
    <t>đường Trần Vân Ơn, phường Phú Lợi, TP Hồ Chí Minh</t>
  </si>
  <si>
    <t>15 giờ 54 phút</t>
  </si>
  <si>
    <t>đường Bùi Ngọc Thu, phường Chánh Hiệp, TP Hồ Chí Minh</t>
  </si>
  <si>
    <t>06 giờ 15 phút</t>
  </si>
  <si>
    <t>Thuận Giao 25, phường Thuận Giao, thành phố Hồ Chí Minh</t>
  </si>
  <si>
    <t>16 giờ 02 phút</t>
  </si>
  <si>
    <t>52/DC1, tổ 34, khu phố Bình Phước B, phường An Phú, Thành phố Hồ Chí Minh</t>
  </si>
  <si>
    <t>Thiếu tá Hoàng Duy Nam</t>
  </si>
  <si>
    <t>11 giờ 00 phút</t>
  </si>
  <si>
    <t>Đường Mỹ Phước – Tân Vạn, Khu phố Bình Phú, phường Thuận Giao, Thành phố Hồ Chí Minh</t>
  </si>
  <si>
    <t>20 giờ 50 phút</t>
  </si>
  <si>
    <t>hẻm 269 đường Nguyễn Thị Minh Khai, khu phố 9, Phường Phú Lợi, Thành phố Hồ Chí Minh</t>
  </si>
  <si>
    <t>11 giờ 26 phút</t>
  </si>
  <si>
    <t>số 44 Nguyễn Văn Trỗi, phường Phú Lợi, Thành phố Hồ Chí Minh (địa bàn Đội KV30 quản lý)</t>
  </si>
  <si>
    <t>04 giờ 28 phút</t>
  </si>
  <si>
    <t>17 giờ 52 phút</t>
  </si>
  <si>
    <t>số 333, đường Thuận Giao 16, Khu phố Bình Thuận 2, phường Thuận Giao, Thành phố Hồ Chí Minh</t>
  </si>
  <si>
    <t>19 giờ 30 phút</t>
  </si>
  <si>
    <t>Kh tham gia</t>
  </si>
  <si>
    <t>đường Võ Văn Kiệt, khu phố Hòa Phú, phường Bình Dương, Thành phố Hồ Chí Minh</t>
  </si>
  <si>
    <t>10 giờ 20 phút</t>
  </si>
  <si>
    <t>120/14 đường Huỳnh Văn Lũy, phường Bình Dương, Thành phố Hồ Chí Minh</t>
  </si>
  <si>
    <t>01 giờ 10 phút</t>
  </si>
  <si>
    <t>132/78 đường Nguyễn Văn Lộng, phường Chánh Hiệp, Thành phố Hồ Chí Minh</t>
  </si>
  <si>
    <t>16 giờ 16 phút</t>
  </si>
  <si>
    <t>đường DX002, phường Bình Dương, Thành phố Hồ Chí Minh</t>
  </si>
  <si>
    <t>13 giờ 50 phút</t>
  </si>
  <si>
    <t>cuối hẻm 269, đường Nguyễn Thị Minh Khai, phường Phú Lợi, Thành phố Hồ Chí Minh</t>
  </si>
  <si>
    <t>19 giờ 46 phút</t>
  </si>
  <si>
    <t>Đường Mỹ Phước – Tân Vạn thuộc khu phố 1A, phường An Phú, Thành phố Hồ Chí Minh</t>
  </si>
  <si>
    <t>09 giờ 50 phút</t>
  </si>
  <si>
    <t>Bùi Hữu Nghĩa thuộc khu phố Bình Đáng, phường Bình Hòa, Thành phố Hồ Chí Minh</t>
  </si>
  <si>
    <t>13 giờ 35 phút</t>
  </si>
  <si>
    <t>đường Mỹ Phước Tân Vạn, phường Bình Dương, Thành phố Hồ Chí Minh</t>
  </si>
  <si>
    <t>Ô tô bốc khói</t>
  </si>
  <si>
    <t xml:space="preserve">Trung tá Nguyễn Ngọc Yến </t>
  </si>
  <si>
    <t>đường X03, khu phố 3, phường An Phú, Thành phố Hồ Chí Minh</t>
  </si>
  <si>
    <t xml:space="preserve">10 giờ 40 phút </t>
  </si>
  <si>
    <t>số 31/2, khu phố Bình Quới A, phường Thuận Giao, Thành phố Hồ Chí Minh</t>
  </si>
  <si>
    <t>Cháy xe tải</t>
  </si>
  <si>
    <t>11 giờ 43 phút</t>
  </si>
  <si>
    <t>18 giờ 10 phút</t>
  </si>
  <si>
    <t>đường Điện Biên Phủ, KCN Kim Huy, phường Bình Dương, Thành phố Hồ Chí Minh</t>
  </si>
  <si>
    <t>20 giờ 44 phút</t>
  </si>
  <si>
    <t>đường Bình Chuẩn 12, khu phố Bình Quới B, phường Thuận Giao, Thành phố Hồ Chí Minh</t>
  </si>
  <si>
    <t xml:space="preserve">00 giờ 03 phút </t>
  </si>
  <si>
    <t>số 535 đường Lê Hồng Phong, phường Phú Lợi, Thành phố Hồ Chí Minh</t>
  </si>
  <si>
    <t>đường Nguyễn Văn Lộng, Phường Chánh Hiệp, Thành phố Hồ Chí Minh</t>
  </si>
  <si>
    <t>đường Bình Chuẩn 61, Khu phố Bình Phước B, phường An Phú, Thành phố Hồ Chí Minh</t>
  </si>
  <si>
    <t>số 325, đường Nguyễn Văn Trỗi, phường Phú Lợi, thành phố Hồ Chí Minh</t>
  </si>
  <si>
    <t>đường Hùng Vương, phường Bình Dương, thành phố Hồ Chí Minh</t>
  </si>
  <si>
    <t>hẻm 276, đường Phạm Ngọc Thạch, phường Phú Lợi, thành phố Hồ Chí Minh</t>
  </si>
  <si>
    <t>đường Lê Hồng Phong nối dài, phường Chánh Hiệp, thành phố Hồ Chí Minh</t>
  </si>
  <si>
    <t>Mỹ Phước Tân Vạn, phường Phú Lợi, thành phố Hồ Chí Minh</t>
  </si>
  <si>
    <t>Số 18/2, Khu phố Đông Nhì, phường Lái Thiêu, Thành phố Hồ Chí Minh</t>
  </si>
  <si>
    <t>Cháy nhà</t>
  </si>
  <si>
    <t>đường Mỹ Phước Tân Vạn, phường Phú Lợi, Thành phố Hồ Chí Minh</t>
  </si>
  <si>
    <t>đường DX33, phường Bình Dương, Thành phố Hồ Chí Minh</t>
  </si>
  <si>
    <t>Tổ 30, khu phố Bình Phước B, phường An Phú, thành phố Hồ Chí Minh</t>
  </si>
  <si>
    <t>Cháy bồn hút bụi</t>
  </si>
  <si>
    <t>đường Thủ Khoa Huân, khu phố Bình Phú, phường Thuận Giao, Thành phố Hồ Chí Minh</t>
  </si>
  <si>
    <t>đường Chòm Sao, khu phố Bình Giao, phường Thuận Giao, Thành phố Hồ Chí Minh</t>
  </si>
  <si>
    <t>đường Phạm Ngũ Lão, phường Thủ Dầu Một, Thành phố Hồ Chí Minh</t>
  </si>
  <si>
    <t>đường ĐX076, khu phố Định Hòa 3, phường Chánh Hiệp, Thành phố Hồ Chí Minh</t>
  </si>
  <si>
    <t>Số 124/5, khu phố 4, phường An Phú, Thành phố Hồ Chí Minh</t>
  </si>
  <si>
    <t>đường An Phú 18, Khu phố 1B, phường An Phú, Thành phố Hồ Chí Minh</t>
  </si>
  <si>
    <t>đường ĐX002, khu phố Phú Mỹ 8, phường Bình Dương, Thành phố Hồ Chí Minh</t>
  </si>
  <si>
    <t>Cháy bãi phế liệu</t>
  </si>
  <si>
    <t>số 654, đường Đại lộ Bình Dương, phường Phú Lợi, Thành phố Hồ Chí Minh</t>
  </si>
  <si>
    <t>Cháy cành cây khô trên sân thượng</t>
  </si>
  <si>
    <t>73 đường 30/4, phường Phú Lợi, Thành phố Hồ Chí Minh</t>
  </si>
  <si>
    <t>đường Bình Nhâm 26, phường Lái Thiêu, Thành phố Hồ Chí Minh</t>
  </si>
  <si>
    <t>857 Đường Đại lộ Bình Dương, Phường Chánh Hiệp, TP. Hồ Chí Minh</t>
  </si>
  <si>
    <t>Đại úy Nguyễn Nguyên Anh</t>
  </si>
  <si>
    <t>đường 30/4, khu phố Chánh Nghĩa 3, phường Thủ Dầu Một, Thành phố Hồ Chí Minh</t>
  </si>
  <si>
    <t>Lô M1 - M3 đường Đồng Khởi, khu phố Hòa Phú 2, phường Bình Dương, Thành phố Hồ Chí Minh (Bên ngoài Cửa hàng Super Mart)</t>
  </si>
  <si>
    <t>Cháy giấy, rác</t>
  </si>
  <si>
    <t>đường DA8, khu phố Hòa Lân 2, Phường Thuận Giao, TP. Hồ Chí Minh</t>
  </si>
  <si>
    <t>Đường Thuận An Hòa, Khu phố 4, phường An Phú, Thành phố Hồ Chí Minh</t>
  </si>
  <si>
    <t>Đường Bình Chuẩn 59, Khu phố Bình Phú, phường Thuận Giao, Thành phố Hồ Chí Minh</t>
  </si>
  <si>
    <t>đường Đại lộ Bình Dương (trước nhà văn hóa thiếu nhi Bình Dương), phường Thủ Dầu Một, Thành phố Hồ Chí Minh</t>
  </si>
  <si>
    <t>cháy điện</t>
  </si>
  <si>
    <t>Khu phố Hưng Phước, phường Thuận An, Thành phố Hồ Chí Minh</t>
  </si>
  <si>
    <t>số 15, đường D, khu phố Chánh Nghĩa 12, phường Thủ Dầu Một, Thành phố Hồ Chí Minh</t>
  </si>
  <si>
    <t>Cháy nhà dân</t>
  </si>
  <si>
    <t>anh Nguyễn Hữu Sơn sinh năm 1980,
H4-32 khu dân cư Vĩnh Phú 1, phường Bình Hoà, thành phố Hồ Chí Minh</t>
  </si>
  <si>
    <t>Nạn nhân có biểu hiện tâm thần, khóa trái cửa nhốt 02 con, đánh đập và đuổi vợ ra khỏi nhà</t>
  </si>
  <si>
    <t>Số 849 đường Đại lộ Bình Dương, phường Chánh Hiệp, Thành phố Hồ Chí Minh</t>
  </si>
  <si>
    <t>Thuận Giao 25, phường Thuận Giao, Thành phố Hồ Chí Minh</t>
  </si>
  <si>
    <t>đường Hưng Định 24 thuộc khu phố Hưng Lộc, phường Thuận An, Thành phố Hồ Chí Minh</t>
  </si>
  <si>
    <t>đường Đông Nhì thuộc khu phố Đông Nhì, phường Lái Thiêu, Thành phố Hồ Chí Minh</t>
  </si>
  <si>
    <t>số 666, Đường Đại lộ Bình Dương, khu phố Hiệp Thành 5, phường Phú Lợi, thành phố Hồ Chí Minh</t>
  </si>
  <si>
    <t>hẻm 218, đường Thích Quảng Đức, khu phố Phú Cường 2, phường Thủ Dầu Một, thành phố Hồ Chí Minh</t>
  </si>
  <si>
    <t>đường Bình Hòa 13 thuộc khu phố Bình Đáng, phường Bình Hòa, Thành phố Hồ Chí Minh</t>
  </si>
  <si>
    <t>Khu phố Bình Thuận 1, phường Thuận Giao, Thành phố Hồ Chí Minh</t>
  </si>
  <si>
    <t>khu đất trống kế bên số nhà 29 đường Đại lộ Bình Dương, khu phố Bình Hòa, phường Lái Thiêu, Thành phố Hồ Chí Minh</t>
  </si>
  <si>
    <t>Cháy bãi rác</t>
  </si>
  <si>
    <t xml:space="preserve"> khu đất trống kế bên số nhà 29 đường Đại lộ Bình Dương, khu phố Bình Hòa, phường Lái Thiêu, Thành phố Hồ Chí Minh</t>
  </si>
  <si>
    <t>đường Nguyễn Chí Thanh, phường Chánh Hiệp, Thành phố Hồ Chí Minh</t>
  </si>
  <si>
    <t>đường Bình Chuẩn 32, phường An Phú, Thành phố Hồ Chí Minh</t>
  </si>
  <si>
    <t>Đường Thuận Giao 02, phường Thuận Giao, thành phố Hồ Chí Minh</t>
  </si>
  <si>
    <t>quán cà phê sân vườn Hồng Hà, địa chỉ: đường Mỹ Phước - Tân Vạn, khu phố 4, phường An Phú, Thành phố Hồ Chí Minh</t>
  </si>
  <si>
    <t>Cháy quán cafe</t>
  </si>
  <si>
    <t>đường Bình Chuẩn 61, kp Bình Phước B, phường An Phú, Thành phố Hồ Chí Minh</t>
  </si>
  <si>
    <t>Đại lộ Bình Dương (Quốc lộ 13) thuộc phường Chánh Hiệp, Thành phố Hồ Chí Minh</t>
  </si>
  <si>
    <t>Khu dân cư Chánh Nghĩa, phường Thủ Dầu Một, tỉnh Bình Dương</t>
  </si>
  <si>
    <t>CỨU NẠN, CỨU HỘ</t>
  </si>
  <si>
    <t>Loại hình CNCH</t>
  </si>
  <si>
    <t>Ngày xảy ra sự cố</t>
  </si>
  <si>
    <t>Thời gian đến</t>
  </si>
  <si>
    <t>Địa điểm</t>
  </si>
  <si>
    <t>Chỉ huy CNCH</t>
  </si>
  <si>
    <t>Thiệt hại về người</t>
  </si>
  <si>
    <t>Số người cứu được</t>
  </si>
  <si>
    <t>Tai nạn mắc kẹt trong thiết bị</t>
  </si>
  <si>
    <t>21 giờ 30 phút</t>
  </si>
  <si>
    <t>Công ty TNHH chế biến gỗ Minh Trí</t>
  </si>
  <si>
    <t>47/1 khu phố Bình Phước B, phường An Phú, Thành phố Hồ Chí Minh</t>
  </si>
  <si>
    <t>Đường Vĩnh Phú 38, khu phố Tây, Phường Lái Thiêu, Thành phố Hồ Chí Minh</t>
  </si>
  <si>
    <t>Tai nạn mắc kẹt trong phương tiện giao thông</t>
  </si>
  <si>
    <t xml:space="preserve">03 giờ 24 </t>
  </si>
  <si>
    <t>Xe bồn BKS 50H-101.42</t>
  </si>
  <si>
    <t>đường Bình Chuẩn 62, khu phố Bình Phước B, Phường An Phú, Thành phố Hồ Chí Minh</t>
  </si>
  <si>
    <t>Đuối nước</t>
  </si>
  <si>
    <t>Bến Bạch Đằng</t>
  </si>
  <si>
    <t>Sông Sài Gòn, phường Thủ Dầu Một, Thành phố Hồ Chí Minh</t>
  </si>
  <si>
    <t>Đối tượng có dấu hiệu không tỉnh táo</t>
  </si>
  <si>
    <t>21 giờ 08 phút</t>
  </si>
  <si>
    <t>khu phố Bình Phước B, phường An Phú, Thành phố Hồ Chí Minh</t>
  </si>
  <si>
    <t>05 giờ 40 phút</t>
  </si>
  <si>
    <t>Sông SG</t>
  </si>
  <si>
    <t>Nhảy cầu</t>
  </si>
  <si>
    <t>Cầu Phú Long</t>
  </si>
  <si>
    <t>Nhảy sông</t>
  </si>
  <si>
    <t xml:space="preserve">16 giờ 33 phút </t>
  </si>
  <si>
    <t>Bờ sông Sài Gòn, phường Chánh Hiệp, Thành phố Hồ Chí Minh</t>
  </si>
  <si>
    <t>22 giờ 36 phút</t>
  </si>
  <si>
    <t>Cầu Phú Cường</t>
  </si>
  <si>
    <t>Cầu Phú Cường, phường Thủ Dầu Một, Thành phố Hồ Chí Minh</t>
  </si>
  <si>
    <t>KHU VỰC QUẢN LÝ</t>
  </si>
  <si>
    <t>THỜI GIAN ĐI</t>
  </si>
  <si>
    <t>THỜI GIAN VỀ</t>
  </si>
  <si>
    <t>Số 23/8A khu phố Tân Phước, phường Tân Đông Hiệp, thành phố Hồ Chí Minh</t>
  </si>
  <si>
    <t>Đội CC&amp;CNCH KV33</t>
  </si>
  <si>
    <t>02 giờ 48 phút</t>
  </si>
  <si>
    <t>Ngã 4, đường Vĩnh Lợi, khu phố Ông Đông, phường Tân Hiệp, Thành phố Hồ Chí Minh</t>
  </si>
  <si>
    <t>Đội CC&amp;CNCH KV32</t>
  </si>
  <si>
    <t>21 giờ 04 phút</t>
  </si>
  <si>
    <t>Thửa đất 1686, tờ bản đồ C2.5, tổ 15, Trần Quang Diệu, khu phố Tân Phước, phường Tân Đông Hiệp, Thành phố Hồ Chí Minh.</t>
  </si>
  <si>
    <t>09 giờ 35 phút</t>
  </si>
  <si>
    <t>đường 43, Phường Tân Khánh, Thành phố Hồ Chí Minh</t>
  </si>
  <si>
    <t>vụ cháy xảy tại đầu kéo xe Container, Biển kiểm soát 29H-059.19; địa chỉ: đường Lê Hồng Phong, khu phố Tân Phước, phường Tân Đông Hiệp, Thành phố Hồ Chí Minh</t>
  </si>
  <si>
    <t>02 giờ 55 phút</t>
  </si>
  <si>
    <t>vụ cháy Công ty TNHH HUIFENG TECHNOLOGY, địa chỉ: Thử đất số 215, tờ bản đồ số 42, khu phố An Sơn, phường Long Nguyên, thành phố Hồ Chí Minh</t>
  </si>
  <si>
    <t>Đội CC&amp;CNCH KV31</t>
  </si>
  <si>
    <t>20 giờ 29 phút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</si>
</sst>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m/yyyy"/>
    <numFmt numFmtId="166" formatCode="dd/mm/yyyy"/>
    <numFmt numFmtId="167" formatCode="d/m/yyyy"/>
  </numFmts>
  <fonts count="31">
    <font>
      <sz val="10.0"/>
      <color rgb="FF000000"/>
      <name val="Arial"/>
      <scheme val="minor"/>
    </font>
    <font>
      <b/>
      <sz val="13.0"/>
      <color theme="1"/>
      <name val="Times New Roman"/>
    </font>
    <font/>
    <font>
      <sz val="13.0"/>
      <color theme="1"/>
      <name val="Times New Roman"/>
    </font>
    <font>
      <b/>
      <sz val="12.0"/>
      <color theme="1"/>
      <name val="Times New Roman"/>
    </font>
    <font>
      <b/>
      <sz val="11.0"/>
      <color theme="1"/>
      <name val="Times New Roman"/>
    </font>
    <font>
      <sz val="12.0"/>
      <color theme="1"/>
      <name val="Times New Roman"/>
    </font>
    <font>
      <sz val="15.0"/>
      <color theme="1"/>
      <name val="Times New Roman"/>
    </font>
    <font>
      <color theme="1"/>
      <name val="Times New Roman"/>
    </font>
    <font>
      <sz val="14.0"/>
      <color theme="1"/>
      <name val="Times New Roman"/>
    </font>
    <font>
      <b/>
      <sz val="15.0"/>
      <color theme="1"/>
      <name val="Times New Roman"/>
    </font>
    <font>
      <sz val="16.0"/>
      <color theme="1"/>
      <name val="Times New Roman"/>
    </font>
    <font>
      <b/>
      <sz val="16.0"/>
      <color theme="1"/>
      <name val="Times New Roman"/>
    </font>
    <font>
      <sz val="20.0"/>
      <color theme="1"/>
      <name val="Times New Roman"/>
    </font>
    <font>
      <b/>
      <sz val="20.0"/>
      <color theme="1"/>
      <name val="Times New Roman"/>
    </font>
    <font>
      <u/>
      <sz val="20.0"/>
      <color rgb="FF0000FF"/>
      <name val="Times New Roman"/>
    </font>
    <font>
      <u/>
      <sz val="20.0"/>
      <color rgb="FF1155CC"/>
      <name val="Times New Roman"/>
    </font>
    <font>
      <u/>
      <sz val="20.0"/>
      <color rgb="FF0000FF"/>
      <name val="Times New Roman"/>
    </font>
    <font>
      <u/>
      <sz val="20.0"/>
      <color rgb="FF1155CC"/>
      <name val="Times New Roman"/>
    </font>
    <font>
      <sz val="20.0"/>
      <color rgb="FF000000"/>
      <name val="Times New Roman"/>
    </font>
    <font>
      <u/>
      <sz val="20.0"/>
      <color rgb="FF0000FF"/>
      <name val="Times New Roman"/>
    </font>
    <font>
      <b/>
      <sz val="18.0"/>
      <color theme="1"/>
      <name val="Times New Roman"/>
    </font>
    <font>
      <sz val="18.0"/>
      <color theme="1"/>
      <name val="Times New Roman"/>
    </font>
    <font>
      <sz val="18.0"/>
      <color theme="1"/>
      <name val="Arial"/>
      <scheme val="minor"/>
    </font>
    <font>
      <color theme="1"/>
      <name val="Arial"/>
      <scheme val="minor"/>
    </font>
    <font>
      <b/>
      <sz val="17.0"/>
      <color rgb="FF000000"/>
      <name val="Times New Roman"/>
    </font>
    <font>
      <b/>
      <sz val="17.0"/>
      <color theme="1"/>
      <name val="Times New Roman"/>
    </font>
    <font>
      <sz val="17.0"/>
      <color theme="1"/>
      <name val="Times New Roman"/>
    </font>
    <font>
      <sz val="17.0"/>
      <color theme="1"/>
      <name val="&quot;Times New Roman&quot;"/>
    </font>
    <font>
      <sz val="21.0"/>
      <color theme="1"/>
      <name val="Times New Roman"/>
    </font>
    <font>
      <sz val="21.0"/>
      <color theme="1"/>
      <name val="&quot;Times New Roman&quot;"/>
    </font>
  </fonts>
  <fills count="20">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FFFF00"/>
        <bgColor rgb="FFFFFF00"/>
      </patternFill>
    </fill>
    <fill>
      <patternFill patternType="solid">
        <fgColor theme="6"/>
        <bgColor theme="6"/>
      </patternFill>
    </fill>
    <fill>
      <patternFill patternType="solid">
        <fgColor rgb="FFC9DAF8"/>
        <bgColor rgb="FFC9DAF8"/>
      </patternFill>
    </fill>
    <fill>
      <patternFill patternType="solid">
        <fgColor rgb="FFD9D2E9"/>
        <bgColor rgb="FFD9D2E9"/>
      </patternFill>
    </fill>
    <fill>
      <patternFill patternType="solid">
        <fgColor rgb="FFFF0000"/>
        <bgColor rgb="FFFF0000"/>
      </patternFill>
    </fill>
    <fill>
      <patternFill patternType="solid">
        <fgColor rgb="FFD9D9D9"/>
        <bgColor rgb="FFD9D9D9"/>
      </patternFill>
    </fill>
    <fill>
      <patternFill patternType="solid">
        <fgColor rgb="FFF4CCCC"/>
        <bgColor rgb="FFF4CCCC"/>
      </patternFill>
    </fill>
    <fill>
      <patternFill patternType="solid">
        <fgColor rgb="FFF1C232"/>
        <bgColor rgb="FFF1C232"/>
      </patternFill>
    </fill>
    <fill>
      <patternFill patternType="solid">
        <fgColor rgb="FFE06666"/>
        <bgColor rgb="FFE06666"/>
      </patternFill>
    </fill>
    <fill>
      <patternFill patternType="solid">
        <fgColor rgb="FFFF9900"/>
        <bgColor rgb="FFFF9900"/>
      </patternFill>
    </fill>
    <fill>
      <patternFill patternType="solid">
        <fgColor rgb="FFD5A6BD"/>
        <bgColor rgb="FFD5A6BD"/>
      </patternFill>
    </fill>
    <fill>
      <patternFill patternType="solid">
        <fgColor rgb="FF00FF00"/>
        <bgColor rgb="FF00FF00"/>
      </patternFill>
    </fill>
    <fill>
      <patternFill patternType="solid">
        <fgColor rgb="FFA4C2F4"/>
        <bgColor rgb="FFA4C2F4"/>
      </patternFill>
    </fill>
  </fills>
  <borders count="1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n">
        <color rgb="FF000000"/>
      </right>
      <top style="thick">
        <color rgb="FF000000"/>
      </top>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ck">
        <color rgb="FF000000"/>
      </right>
      <top style="thin">
        <color rgb="FF000000"/>
      </top>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2" fillId="3"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vertical="center"/>
    </xf>
    <xf borderId="5" fillId="4" fontId="1" numFmtId="0" xfId="0" applyAlignment="1" applyBorder="1" applyFont="1">
      <alignment horizontal="center" readingOrder="0" vertical="center"/>
    </xf>
    <xf borderId="2" fillId="5" fontId="1" numFmtId="0" xfId="0" applyAlignment="1" applyBorder="1" applyFill="1" applyFont="1">
      <alignment horizontal="center" readingOrder="0" shrinkToFit="0" vertical="center" wrapText="1"/>
    </xf>
    <xf borderId="6" fillId="0" fontId="2" numFmtId="0" xfId="0" applyBorder="1" applyFont="1"/>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xf>
    <xf borderId="5" fillId="0" fontId="3" numFmtId="0" xfId="0" applyAlignment="1" applyBorder="1" applyFont="1">
      <alignment horizontal="center" readingOrder="0"/>
    </xf>
    <xf borderId="2" fillId="0" fontId="3" numFmtId="0" xfId="0" applyAlignment="1" applyBorder="1" applyFont="1">
      <alignment horizontal="center" readingOrder="0"/>
    </xf>
    <xf borderId="5" fillId="0" fontId="3" numFmtId="0" xfId="0" applyAlignment="1" applyBorder="1" applyFont="1">
      <alignment horizontal="center"/>
    </xf>
    <xf borderId="5" fillId="0" fontId="1" numFmtId="0" xfId="0" applyAlignment="1" applyBorder="1" applyFont="1">
      <alignment horizontal="center" readingOrder="0"/>
    </xf>
    <xf borderId="0" fillId="0" fontId="3" numFmtId="0" xfId="0" applyAlignment="1" applyFont="1">
      <alignment horizontal="center"/>
    </xf>
    <xf borderId="0" fillId="0" fontId="3" numFmtId="0" xfId="0" applyAlignment="1" applyFont="1">
      <alignment horizontal="center" readingOrder="0"/>
    </xf>
    <xf borderId="1" fillId="0" fontId="4" numFmtId="0" xfId="0" applyAlignment="1" applyBorder="1" applyFont="1">
      <alignment horizontal="center" shrinkToFit="0" vertical="center" wrapText="1"/>
    </xf>
    <xf borderId="2" fillId="2" fontId="4" numFmtId="0" xfId="0" applyAlignment="1" applyBorder="1" applyFont="1">
      <alignment horizontal="center" readingOrder="0" shrinkToFit="0" vertical="center" wrapText="1"/>
    </xf>
    <xf borderId="2" fillId="3" fontId="4" numFmtId="0" xfId="0" applyAlignment="1" applyBorder="1" applyFont="1">
      <alignment horizontal="center" readingOrder="0" shrinkToFit="0" vertical="center" wrapText="1"/>
    </xf>
    <xf borderId="2" fillId="4" fontId="4" numFmtId="0" xfId="0" applyAlignment="1" applyBorder="1" applyFont="1">
      <alignment horizontal="center" readingOrder="0" vertical="center"/>
    </xf>
    <xf borderId="2" fillId="6" fontId="5" numFmtId="0" xfId="0" applyAlignment="1" applyBorder="1" applyFill="1" applyFont="1">
      <alignment horizontal="center" readingOrder="0" shrinkToFit="0" vertical="center" wrapText="1"/>
    </xf>
    <xf borderId="2" fillId="5"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5" fillId="0" fontId="6" numFmtId="0" xfId="0" applyAlignment="1" applyBorder="1" applyFont="1">
      <alignment horizontal="center" readingOrder="0" vertical="center"/>
    </xf>
    <xf borderId="5" fillId="5" fontId="6" numFmtId="0" xfId="0" applyAlignment="1" applyBorder="1" applyFont="1">
      <alignment horizontal="center" readingOrder="0" vertical="center"/>
    </xf>
    <xf borderId="5" fillId="0" fontId="7" numFmtId="0" xfId="0" applyAlignment="1" applyBorder="1" applyFont="1">
      <alignment horizontal="center" readingOrder="0" vertical="center"/>
    </xf>
    <xf borderId="5" fillId="0" fontId="6" numFmtId="0" xfId="0" applyAlignment="1" applyBorder="1" applyFont="1">
      <alignment horizontal="center" readingOrder="0" shrinkToFit="0" vertical="center" wrapText="1"/>
    </xf>
    <xf borderId="0" fillId="0" fontId="6" numFmtId="0" xfId="0" applyAlignment="1" applyFont="1">
      <alignment horizontal="center" readingOrder="0" vertical="center"/>
    </xf>
    <xf borderId="5" fillId="0" fontId="6" numFmtId="0" xfId="0" applyAlignment="1" applyBorder="1" applyFont="1">
      <alignment horizontal="center" vertical="center"/>
    </xf>
    <xf borderId="5" fillId="3" fontId="6" numFmtId="0" xfId="0" applyAlignment="1" applyBorder="1" applyFont="1">
      <alignment horizontal="center" readingOrder="0" vertical="center"/>
    </xf>
    <xf borderId="5" fillId="7" fontId="6" numFmtId="0" xfId="0" applyAlignment="1" applyBorder="1" applyFill="1" applyFont="1">
      <alignment horizontal="center" readingOrder="0" vertical="center"/>
    </xf>
    <xf borderId="5" fillId="7" fontId="6" numFmtId="0" xfId="0" applyAlignment="1" applyBorder="1" applyFont="1">
      <alignment horizontal="center" readingOrder="0" shrinkToFit="0" vertical="center" wrapText="1"/>
    </xf>
    <xf borderId="5" fillId="8" fontId="6" numFmtId="0" xfId="0" applyAlignment="1" applyBorder="1" applyFill="1" applyFont="1">
      <alignment horizontal="center" readingOrder="0" vertical="center"/>
    </xf>
    <xf borderId="5" fillId="8" fontId="7" numFmtId="0" xfId="0" applyAlignment="1" applyBorder="1" applyFont="1">
      <alignment horizontal="center" readingOrder="0" vertical="center"/>
    </xf>
    <xf borderId="5" fillId="8"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9" fontId="7" numFmtId="0" xfId="0" applyAlignment="1" applyBorder="1" applyFill="1" applyFont="1">
      <alignment horizontal="center" readingOrder="0" vertical="center"/>
    </xf>
    <xf borderId="5" fillId="0" fontId="7" numFmtId="0" xfId="0" applyAlignment="1" applyBorder="1" applyFont="1">
      <alignment horizontal="center" vertical="center"/>
    </xf>
    <xf borderId="0" fillId="0" fontId="8" numFmtId="0" xfId="0" applyAlignment="1" applyFont="1">
      <alignment readingOrder="0" shrinkToFit="0" wrapText="1"/>
    </xf>
    <xf borderId="5" fillId="0" fontId="9" numFmtId="0" xfId="0" applyAlignment="1" applyBorder="1" applyFont="1">
      <alignment horizontal="center" vertical="center"/>
    </xf>
    <xf borderId="2" fillId="6"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7" fillId="0" fontId="2" numFmtId="0" xfId="0" applyBorder="1" applyFont="1"/>
    <xf borderId="0" fillId="0" fontId="1" numFmtId="0" xfId="0" applyAlignment="1" applyFont="1">
      <alignment horizontal="center" readingOrder="0" vertical="center"/>
    </xf>
    <xf borderId="2" fillId="0" fontId="1" numFmtId="0" xfId="0" applyAlignment="1" applyBorder="1" applyFont="1">
      <alignment horizontal="center" readingOrder="0" shrinkToFit="0" vertical="center" wrapText="1"/>
    </xf>
    <xf borderId="5" fillId="0" fontId="3" numFmtId="0" xfId="0" applyAlignment="1" applyBorder="1" applyFont="1">
      <alignment horizontal="center" readingOrder="0" vertical="center"/>
    </xf>
    <xf borderId="5" fillId="2" fontId="3" numFmtId="0" xfId="0" applyAlignment="1" applyBorder="1" applyFont="1">
      <alignment horizontal="center" readingOrder="0" vertical="center"/>
    </xf>
    <xf borderId="5" fillId="0" fontId="3" numFmtId="0" xfId="0" applyAlignment="1" applyBorder="1" applyFont="1">
      <alignment horizontal="center" vertical="center"/>
    </xf>
    <xf borderId="5" fillId="3" fontId="3" numFmtId="0" xfId="0" applyAlignment="1" applyBorder="1" applyFont="1">
      <alignment horizontal="center" readingOrder="0" vertical="center"/>
    </xf>
    <xf borderId="0" fillId="0" fontId="3" numFmtId="0" xfId="0" applyAlignment="1" applyFont="1">
      <alignment horizontal="center" vertical="center"/>
    </xf>
    <xf borderId="5" fillId="5" fontId="3" numFmtId="0" xfId="0" applyAlignment="1" applyBorder="1" applyFont="1">
      <alignment horizontal="center" readingOrder="0" shrinkToFit="0" vertical="center" wrapText="1"/>
    </xf>
    <xf borderId="5" fillId="10" fontId="3" numFmtId="0" xfId="0" applyAlignment="1" applyBorder="1" applyFill="1" applyFont="1">
      <alignment horizontal="center" readingOrder="0" vertical="center"/>
    </xf>
    <xf borderId="5" fillId="5" fontId="1" numFmtId="0" xfId="0" applyAlignment="1" applyBorder="1" applyFont="1">
      <alignment horizontal="center" readingOrder="0" vertical="center"/>
    </xf>
    <xf borderId="5" fillId="0" fontId="10" numFmtId="0" xfId="0" applyAlignment="1" applyBorder="1" applyFont="1">
      <alignment horizontal="center" vertical="center"/>
    </xf>
    <xf borderId="5" fillId="11" fontId="7" numFmtId="0" xfId="0" applyAlignment="1" applyBorder="1" applyFill="1" applyFont="1">
      <alignment horizontal="center" vertical="center"/>
    </xf>
    <xf borderId="0" fillId="0" fontId="3" numFmtId="0" xfId="0" applyAlignment="1" applyFont="1">
      <alignment horizontal="center" readingOrder="0" vertical="center"/>
    </xf>
    <xf borderId="5" fillId="5" fontId="7" numFmtId="0" xfId="0" applyAlignment="1" applyBorder="1" applyFont="1">
      <alignment horizontal="center" readingOrder="0" shrinkToFit="0" vertical="center" wrapText="1"/>
    </xf>
    <xf borderId="5" fillId="3"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7" fontId="7" numFmtId="0" xfId="0" applyAlignment="1" applyBorder="1" applyFont="1">
      <alignment horizontal="center" readingOrder="0" shrinkToFit="0" vertical="center" wrapText="1"/>
    </xf>
    <xf borderId="5" fillId="7" fontId="7" numFmtId="0" xfId="0" applyAlignment="1" applyBorder="1" applyFont="1">
      <alignment horizontal="center" shrinkToFit="0" vertical="center" wrapText="1"/>
    </xf>
    <xf borderId="5" fillId="3" fontId="7" numFmtId="0" xfId="0" applyAlignment="1" applyBorder="1" applyFont="1">
      <alignment horizontal="center" readingOrder="0" vertical="center"/>
    </xf>
    <xf borderId="5" fillId="3" fontId="7" numFmtId="164" xfId="0" applyAlignment="1" applyBorder="1" applyFont="1" applyNumberFormat="1">
      <alignment horizontal="center" readingOrder="0" vertical="center"/>
    </xf>
    <xf borderId="0" fillId="5" fontId="7" numFmtId="0" xfId="0" applyAlignment="1" applyFont="1">
      <alignment horizontal="center" vertical="center"/>
    </xf>
    <xf borderId="0" fillId="3" fontId="7" numFmtId="0" xfId="0" applyAlignment="1" applyFont="1">
      <alignment horizontal="center" vertical="center"/>
    </xf>
    <xf borderId="0" fillId="0" fontId="7" numFmtId="0" xfId="0" applyAlignment="1" applyFont="1">
      <alignment horizontal="center" vertical="center"/>
    </xf>
    <xf borderId="5" fillId="12" fontId="7" numFmtId="0" xfId="0" applyAlignment="1" applyBorder="1" applyFill="1" applyFont="1">
      <alignment horizontal="center" readingOrder="0" vertical="center"/>
    </xf>
    <xf borderId="5" fillId="5" fontId="7" numFmtId="165" xfId="0" applyAlignment="1" applyBorder="1" applyFont="1" applyNumberFormat="1">
      <alignment horizontal="center" readingOrder="0" vertical="center"/>
    </xf>
    <xf borderId="5" fillId="12" fontId="7" numFmtId="165" xfId="0" applyAlignment="1" applyBorder="1" applyFont="1" applyNumberFormat="1">
      <alignment horizontal="center" readingOrder="0" vertical="center"/>
    </xf>
    <xf borderId="0" fillId="0" fontId="7" numFmtId="0" xfId="0" applyAlignment="1" applyFont="1">
      <alignment horizontal="center" readingOrder="0" vertical="center"/>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2" fillId="2" fontId="10" numFmtId="0" xfId="0" applyAlignment="1" applyBorder="1" applyFont="1">
      <alignment horizontal="center" readingOrder="0" shrinkToFit="0" vertical="center" wrapText="1"/>
    </xf>
    <xf borderId="2" fillId="3" fontId="10" numFmtId="0" xfId="0" applyAlignment="1" applyBorder="1" applyFont="1">
      <alignment horizontal="center" readingOrder="0" shrinkToFit="0" vertical="center" wrapText="1"/>
    </xf>
    <xf borderId="2" fillId="4" fontId="10" numFmtId="0" xfId="0" applyAlignment="1" applyBorder="1" applyFont="1">
      <alignment horizontal="center" readingOrder="0" vertical="center"/>
    </xf>
    <xf borderId="2" fillId="6" fontId="10"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center" readingOrder="0" vertical="center"/>
    </xf>
    <xf borderId="6" fillId="0" fontId="10" numFmtId="0" xfId="0" applyAlignment="1" applyBorder="1" applyFont="1">
      <alignment horizontal="center" readingOrder="0" shrinkToFit="0" vertical="center" wrapText="1"/>
    </xf>
    <xf borderId="5" fillId="12" fontId="7" numFmtId="0" xfId="0" applyAlignment="1" applyBorder="1" applyFont="1">
      <alignment horizontal="center" readingOrder="0" shrinkToFit="0" vertical="center" wrapText="1"/>
    </xf>
    <xf borderId="5" fillId="0" fontId="11" numFmtId="0" xfId="0" applyAlignment="1" applyBorder="1" applyFont="1">
      <alignment horizontal="center" vertical="center"/>
    </xf>
    <xf borderId="5" fillId="0" fontId="12" numFmtId="0" xfId="0" applyAlignment="1" applyBorder="1" applyFont="1">
      <alignment horizontal="center" readingOrder="0" vertical="center"/>
    </xf>
    <xf borderId="5" fillId="0" fontId="12" numFmtId="0" xfId="0" applyAlignment="1" applyBorder="1" applyFont="1">
      <alignment horizontal="center" vertical="center"/>
    </xf>
    <xf borderId="5" fillId="9" fontId="7" numFmtId="0" xfId="0" applyAlignment="1" applyBorder="1" applyFont="1">
      <alignment horizontal="center" readingOrder="0" shrinkToFit="0" vertical="center" wrapText="1"/>
    </xf>
    <xf borderId="5" fillId="13" fontId="7" numFmtId="0" xfId="0" applyAlignment="1" applyBorder="1" applyFill="1" applyFont="1">
      <alignment horizontal="center" readingOrder="0" shrinkToFit="0" vertical="center" wrapText="1"/>
    </xf>
    <xf borderId="0" fillId="0" fontId="13" numFmtId="0" xfId="0" applyAlignment="1" applyFont="1">
      <alignment horizontal="center" vertical="center"/>
    </xf>
    <xf borderId="0" fillId="0" fontId="10" numFmtId="0" xfId="0" applyAlignment="1" applyFont="1">
      <alignment horizontal="center" readingOrder="0" vertical="center"/>
    </xf>
    <xf borderId="2" fillId="0" fontId="10" numFmtId="0" xfId="0" applyAlignment="1" applyBorder="1" applyFont="1">
      <alignment horizontal="center" readingOrder="0" shrinkToFit="0" vertical="center" wrapText="1"/>
    </xf>
    <xf borderId="0" fillId="0" fontId="11" numFmtId="0" xfId="0" applyAlignment="1" applyFont="1">
      <alignment horizontal="center" vertical="center"/>
    </xf>
    <xf borderId="8" fillId="0" fontId="14" numFmtId="0" xfId="0" applyAlignment="1" applyBorder="1" applyFont="1">
      <alignment horizontal="center" shrinkToFit="0" vertical="center" wrapText="1"/>
    </xf>
    <xf borderId="9" fillId="0" fontId="14" numFmtId="0" xfId="0" applyAlignment="1" applyBorder="1" applyFont="1">
      <alignment horizontal="center" shrinkToFit="0" vertical="center" wrapText="1"/>
    </xf>
    <xf borderId="10" fillId="0" fontId="2" numFmtId="0" xfId="0" applyBorder="1" applyFont="1"/>
    <xf borderId="0" fillId="0" fontId="13" numFmtId="0" xfId="0" applyAlignment="1" applyFont="1">
      <alignment horizontal="center" shrinkToFit="0" vertical="center" wrapText="1"/>
    </xf>
    <xf borderId="11" fillId="0" fontId="2" numFmtId="0" xfId="0" applyBorder="1" applyFont="1"/>
    <xf borderId="1" fillId="3" fontId="14" numFmtId="0" xfId="0" applyAlignment="1" applyBorder="1" applyFont="1">
      <alignment horizontal="center" shrinkToFit="0" vertical="center" wrapText="1"/>
    </xf>
    <xf borderId="12" fillId="5" fontId="14" numFmtId="0" xfId="0" applyAlignment="1" applyBorder="1" applyFont="1">
      <alignment horizontal="center" shrinkToFit="0" vertical="center" wrapText="1"/>
    </xf>
    <xf borderId="5" fillId="0" fontId="15" numFmtId="0" xfId="0" applyAlignment="1" applyBorder="1" applyFont="1">
      <alignment horizontal="center" readingOrder="0" shrinkToFit="0" vertical="center" wrapText="1"/>
    </xf>
    <xf borderId="5" fillId="3" fontId="13" numFmtId="0" xfId="0" applyAlignment="1" applyBorder="1" applyFont="1">
      <alignment horizontal="center" readingOrder="0" shrinkToFit="0" vertical="center" wrapText="1"/>
    </xf>
    <xf borderId="5" fillId="5" fontId="13" numFmtId="0" xfId="0" applyAlignment="1" applyBorder="1" applyFont="1">
      <alignment horizontal="center" shrinkToFit="0" vertical="center" wrapText="1"/>
    </xf>
    <xf borderId="5" fillId="5" fontId="13" numFmtId="0" xfId="0" applyAlignment="1" applyBorder="1" applyFont="1">
      <alignment horizontal="center" readingOrder="0" shrinkToFit="0" vertical="center" wrapText="1"/>
    </xf>
    <xf borderId="5" fillId="0" fontId="16" numFmtId="0" xfId="0" applyAlignment="1" applyBorder="1" applyFont="1">
      <alignment horizontal="center" readingOrder="0" shrinkToFit="0" vertical="center" wrapText="1"/>
    </xf>
    <xf borderId="5" fillId="3" fontId="13" numFmtId="0" xfId="0" applyAlignment="1" applyBorder="1" applyFont="1">
      <alignment horizontal="center" shrinkToFit="0" vertical="center" wrapText="1"/>
    </xf>
    <xf borderId="5" fillId="0" fontId="17" numFmtId="0" xfId="0" applyAlignment="1" applyBorder="1" applyFont="1">
      <alignment horizontal="center" readingOrder="0" shrinkToFit="0" vertical="center" wrapText="1"/>
    </xf>
    <xf borderId="5" fillId="0" fontId="18" numFmtId="0" xfId="0" applyAlignment="1" applyBorder="1" applyFont="1">
      <alignment horizontal="center" shrinkToFit="0" vertical="center" wrapText="1"/>
    </xf>
    <xf borderId="5" fillId="5"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0" fillId="0" fontId="13" numFmtId="166" xfId="0" applyAlignment="1" applyFont="1" applyNumberFormat="1">
      <alignment horizontal="center" readingOrder="0" shrinkToFit="0" vertical="center" wrapText="1"/>
    </xf>
    <xf borderId="5"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5" fillId="7" fontId="14" numFmtId="0" xfId="0" applyAlignment="1" applyBorder="1" applyFont="1">
      <alignment horizontal="center" shrinkToFit="0" vertical="center" wrapText="1"/>
    </xf>
    <xf borderId="5" fillId="14" fontId="13" numFmtId="0" xfId="0" applyAlignment="1" applyBorder="1" applyFill="1" applyFont="1">
      <alignment horizontal="center" shrinkToFit="0" vertical="center" wrapText="1"/>
    </xf>
    <xf borderId="5" fillId="15" fontId="13" numFmtId="0" xfId="0" applyAlignment="1" applyBorder="1" applyFill="1" applyFont="1">
      <alignment horizontal="center" shrinkToFit="0" vertical="center" wrapText="1"/>
    </xf>
    <xf borderId="2" fillId="3" fontId="14" numFmtId="0" xfId="0" applyAlignment="1" applyBorder="1" applyFont="1">
      <alignment horizontal="center" shrinkToFit="0" vertical="center" wrapText="1"/>
    </xf>
    <xf borderId="5" fillId="3" fontId="14" numFmtId="0" xfId="0" applyAlignment="1" applyBorder="1" applyFont="1">
      <alignment horizontal="center" shrinkToFit="0" vertical="center" wrapText="1"/>
    </xf>
    <xf borderId="5" fillId="3" fontId="14" numFmtId="0" xfId="0" applyAlignment="1" applyBorder="1" applyFont="1">
      <alignment horizontal="center" readingOrder="0" shrinkToFit="0" vertical="center" wrapText="1"/>
    </xf>
    <xf borderId="5" fillId="0" fontId="13" numFmtId="0" xfId="0" applyAlignment="1" applyBorder="1" applyFont="1">
      <alignment horizontal="center" readingOrder="0" shrinkToFit="0" vertical="center" wrapText="1"/>
    </xf>
    <xf borderId="5" fillId="0" fontId="13" numFmtId="167"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3" numFmtId="167" xfId="0" applyAlignment="1" applyBorder="1" applyFont="1" applyNumberFormat="1">
      <alignment horizontal="center" readingOrder="0" shrinkToFit="0" vertical="center" wrapText="1"/>
    </xf>
    <xf borderId="1" fillId="0" fontId="13" numFmtId="166" xfId="0" applyAlignment="1" applyBorder="1" applyFont="1" applyNumberFormat="1">
      <alignment horizontal="center" readingOrder="0" shrinkToFit="0" vertical="center" wrapText="1"/>
    </xf>
    <xf borderId="5" fillId="0" fontId="13" numFmtId="166" xfId="0" applyAlignment="1" applyBorder="1" applyFont="1" applyNumberFormat="1">
      <alignment horizontal="center" readingOrder="0" shrinkToFit="0" vertical="center" wrapText="1"/>
    </xf>
    <xf borderId="2" fillId="9" fontId="21" numFmtId="0" xfId="0" applyAlignment="1" applyBorder="1" applyFont="1">
      <alignment horizontal="center" readingOrder="0" shrinkToFit="0" vertical="center" wrapText="1"/>
    </xf>
    <xf borderId="5" fillId="9" fontId="21" numFmtId="0" xfId="0" applyAlignment="1" applyBorder="1" applyFont="1">
      <alignment horizontal="center" shrinkToFit="0" vertical="center" wrapText="1"/>
    </xf>
    <xf borderId="5" fillId="9" fontId="21"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22" numFmtId="167" xfId="0" applyAlignment="1" applyBorder="1" applyFont="1" applyNumberFormat="1">
      <alignment horizontal="center" readingOrder="0" shrinkToFit="0" vertical="center" wrapText="1"/>
    </xf>
    <xf borderId="5" fillId="0" fontId="22" numFmtId="0" xfId="0" applyAlignment="1" applyBorder="1" applyFont="1">
      <alignment horizontal="center" shrinkToFit="0" vertical="center" wrapText="1"/>
    </xf>
    <xf borderId="5" fillId="0" fontId="22" numFmtId="166" xfId="0" applyAlignment="1" applyBorder="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2" numFmtId="166" xfId="0" applyAlignment="1" applyBorder="1" applyFont="1" applyNumberFormat="1">
      <alignment horizontal="center" readingOrder="0" shrinkToFit="0" vertical="center" wrapText="1"/>
    </xf>
    <xf borderId="5" fillId="0" fontId="22" numFmtId="0" xfId="0" applyAlignment="1" applyBorder="1" applyFont="1">
      <alignment horizontal="center" vertical="center"/>
    </xf>
    <xf borderId="5" fillId="0" fontId="22" numFmtId="167" xfId="0" applyAlignment="1" applyBorder="1" applyFont="1" applyNumberFormat="1">
      <alignment horizontal="center" readingOrder="0" vertical="center"/>
    </xf>
    <xf borderId="1" fillId="0" fontId="22" numFmtId="167" xfId="0" applyAlignment="1" applyBorder="1" applyFont="1" applyNumberFormat="1">
      <alignment horizontal="center" readingOrder="0" vertical="center"/>
    </xf>
    <xf borderId="5" fillId="0" fontId="22" numFmtId="0" xfId="0" applyAlignment="1" applyBorder="1" applyFont="1">
      <alignment horizontal="center" readingOrder="0" vertical="center"/>
    </xf>
    <xf borderId="1" fillId="0" fontId="22" numFmtId="167" xfId="0" applyAlignment="1" applyBorder="1" applyFont="1" applyNumberFormat="1">
      <alignment horizontal="center" readingOrder="0" shrinkToFit="0" vertical="center" wrapText="1"/>
    </xf>
    <xf borderId="1" fillId="5" fontId="22" numFmtId="0" xfId="0" applyAlignment="1" applyBorder="1" applyFont="1">
      <alignment horizontal="center" readingOrder="0" shrinkToFit="0" vertical="center" wrapText="1"/>
    </xf>
    <xf borderId="1" fillId="5" fontId="22" numFmtId="166" xfId="0" applyAlignment="1" applyBorder="1" applyFont="1" applyNumberFormat="1">
      <alignment horizontal="center" readingOrder="0" shrinkToFit="0" vertical="center" wrapText="1"/>
    </xf>
    <xf borderId="5" fillId="5" fontId="22" numFmtId="0" xfId="0" applyAlignment="1" applyBorder="1" applyFont="1">
      <alignment horizontal="center" vertical="center"/>
    </xf>
    <xf borderId="5" fillId="5" fontId="22" numFmtId="0" xfId="0" applyAlignment="1" applyBorder="1" applyFont="1">
      <alignment horizontal="center" shrinkToFit="0" vertical="center" wrapText="1"/>
    </xf>
    <xf borderId="5" fillId="0" fontId="22" numFmtId="167" xfId="0" applyAlignment="1" applyBorder="1" applyFont="1" applyNumberFormat="1">
      <alignment horizontal="center" vertical="center"/>
    </xf>
    <xf borderId="1" fillId="0" fontId="22" numFmtId="167" xfId="0" applyAlignment="1" applyBorder="1" applyFont="1" applyNumberFormat="1">
      <alignment horizontal="center" vertical="center"/>
    </xf>
    <xf borderId="5" fillId="0" fontId="22" numFmtId="166" xfId="0" applyAlignment="1" applyBorder="1" applyFont="1" applyNumberFormat="1">
      <alignment horizontal="center" vertical="center"/>
    </xf>
    <xf borderId="5" fillId="0" fontId="22" numFmtId="0" xfId="0" applyAlignment="1" applyBorder="1" applyFont="1">
      <alignment horizontal="center" vertical="center"/>
    </xf>
    <xf borderId="5" fillId="0" fontId="22" numFmtId="0" xfId="0" applyAlignment="1" applyBorder="1" applyFont="1">
      <alignment horizontal="center"/>
    </xf>
    <xf borderId="5" fillId="0" fontId="22" numFmtId="0" xfId="0" applyAlignment="1" applyBorder="1" applyFont="1">
      <alignment horizontal="center" readingOrder="0"/>
    </xf>
    <xf borderId="5" fillId="0"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0" fillId="0" fontId="22" numFmtId="166" xfId="0" applyAlignment="1" applyFont="1" applyNumberFormat="1">
      <alignment horizontal="center" readingOrder="0" shrinkToFit="0" vertical="center" wrapText="1"/>
    </xf>
    <xf borderId="0" fillId="0" fontId="23" numFmtId="0" xfId="0" applyFont="1"/>
    <xf borderId="2" fillId="5" fontId="14" numFmtId="0" xfId="0" applyAlignment="1" applyBorder="1" applyFont="1">
      <alignment horizontal="center" readingOrder="0" shrinkToFit="0" vertical="center" wrapText="1"/>
    </xf>
    <xf borderId="0" fillId="0" fontId="24" numFmtId="0" xfId="0" applyAlignment="1" applyFont="1">
      <alignment shrinkToFit="0" wrapText="1"/>
    </xf>
    <xf borderId="5" fillId="5" fontId="14" numFmtId="0" xfId="0" applyAlignment="1" applyBorder="1" applyFont="1">
      <alignment horizontal="center" shrinkToFit="0" vertical="center" wrapText="1"/>
    </xf>
    <xf borderId="5" fillId="5" fontId="14" numFmtId="0" xfId="0" applyAlignment="1" applyBorder="1" applyFont="1">
      <alignment horizontal="center" readingOrder="0" shrinkToFit="0" vertical="center" wrapText="1"/>
    </xf>
    <xf borderId="2" fillId="16" fontId="25" numFmtId="0" xfId="0" applyAlignment="1" applyBorder="1" applyFill="1" applyFont="1">
      <alignment horizontal="center" shrinkToFit="0" vertical="center" wrapText="1"/>
    </xf>
    <xf borderId="5" fillId="16" fontId="25" numFmtId="0" xfId="0" applyAlignment="1" applyBorder="1" applyFont="1">
      <alignment horizontal="center" shrinkToFit="0" vertical="center" wrapText="1"/>
    </xf>
    <xf borderId="5" fillId="16" fontId="25" numFmtId="0" xfId="0" applyAlignment="1" applyBorder="1" applyFont="1">
      <alignment horizontal="center" readingOrder="0" shrinkToFit="0" vertical="center" wrapText="1"/>
    </xf>
    <xf borderId="5" fillId="16" fontId="26" numFmtId="0" xfId="0" applyAlignment="1" applyBorder="1" applyFont="1">
      <alignment horizontal="center" readingOrder="0" shrinkToFit="0" vertical="center" wrapText="1"/>
    </xf>
    <xf borderId="5" fillId="0" fontId="27" numFmtId="0" xfId="0" applyAlignment="1" applyBorder="1" applyFont="1">
      <alignment horizontal="center" readingOrder="0" shrinkToFit="0" vertical="center" wrapText="1"/>
    </xf>
    <xf borderId="5" fillId="0" fontId="27" numFmtId="167" xfId="0" applyAlignment="1" applyBorder="1" applyFont="1" applyNumberFormat="1">
      <alignment horizontal="center" readingOrder="0" shrinkToFit="0" vertical="center" wrapText="1"/>
    </xf>
    <xf borderId="5" fillId="0" fontId="27" numFmtId="0" xfId="0" applyAlignment="1" applyBorder="1" applyFont="1">
      <alignment horizontal="center" shrinkToFit="0" vertical="center" wrapText="1"/>
    </xf>
    <xf borderId="5" fillId="0" fontId="27" numFmtId="166" xfId="0" applyAlignment="1" applyBorder="1" applyFont="1" applyNumberFormat="1">
      <alignment horizontal="center" readingOrder="0" shrinkToFit="0" vertical="center" wrapText="1"/>
    </xf>
    <xf borderId="5" fillId="0" fontId="27" numFmtId="3" xfId="0" applyAlignment="1" applyBorder="1" applyFont="1" applyNumberFormat="1">
      <alignment horizontal="center" readingOrder="0" shrinkToFit="0" vertical="center" wrapText="1"/>
    </xf>
    <xf borderId="5" fillId="0" fontId="28" numFmtId="0" xfId="0" applyAlignment="1" applyBorder="1" applyFont="1">
      <alignment readingOrder="0" vertical="center"/>
    </xf>
    <xf borderId="0" fillId="0" fontId="27" numFmtId="0" xfId="0" applyAlignment="1" applyFont="1">
      <alignment horizontal="center" shrinkToFit="0" vertical="center" wrapText="1"/>
    </xf>
    <xf borderId="2" fillId="17" fontId="14" numFmtId="0" xfId="0" applyAlignment="1" applyBorder="1" applyFill="1" applyFont="1">
      <alignment horizontal="center" readingOrder="0" shrinkToFit="0" vertical="center" wrapText="1"/>
    </xf>
    <xf borderId="5" fillId="17" fontId="14" numFmtId="0" xfId="0" applyAlignment="1" applyBorder="1" applyFont="1">
      <alignment horizontal="center" shrinkToFit="0" vertical="center" wrapText="1"/>
    </xf>
    <xf borderId="5" fillId="17" fontId="14"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1" fillId="0" fontId="29" numFmtId="167" xfId="0" applyAlignment="1" applyBorder="1" applyFont="1" applyNumberFormat="1">
      <alignment horizontal="center" readingOrder="0" shrinkToFit="0" vertical="center" wrapText="1"/>
    </xf>
    <xf borderId="1" fillId="7" fontId="13" numFmtId="0" xfId="0" applyAlignment="1" applyBorder="1" applyFont="1">
      <alignment horizontal="center" readingOrder="0" shrinkToFit="0" vertical="center" wrapText="1"/>
    </xf>
    <xf borderId="1" fillId="7" fontId="13" numFmtId="166" xfId="0" applyAlignment="1" applyBorder="1" applyFont="1" applyNumberFormat="1">
      <alignment horizontal="center" readingOrder="0" shrinkToFit="0" vertical="center" wrapText="1"/>
    </xf>
    <xf borderId="5" fillId="7" fontId="13" numFmtId="0" xfId="0" applyAlignment="1" applyBorder="1" applyFont="1">
      <alignment horizontal="center" readingOrder="0" shrinkToFit="0" vertical="center" wrapText="1"/>
    </xf>
    <xf borderId="5" fillId="7" fontId="13" numFmtId="0" xfId="0" applyAlignment="1" applyBorder="1" applyFont="1">
      <alignment horizontal="center" shrinkToFit="0" vertical="center" wrapText="1"/>
    </xf>
    <xf borderId="0" fillId="7" fontId="13"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18" fontId="13" numFmtId="0" xfId="0" applyAlignment="1" applyFill="1" applyFont="1">
      <alignment horizontal="center" shrinkToFit="0" vertical="center" wrapText="1"/>
    </xf>
    <xf borderId="2" fillId="9" fontId="12"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5" fillId="9" fontId="12" numFmtId="0" xfId="0" applyAlignment="1" applyBorder="1" applyFont="1">
      <alignment horizontal="center" shrinkToFit="0" vertical="center" wrapText="1"/>
    </xf>
    <xf borderId="5" fillId="9" fontId="12"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1"/>
    </xf>
    <xf borderId="5" fillId="0" fontId="11" numFmtId="167" xfId="0" applyAlignment="1" applyBorder="1" applyFont="1" applyNumberFormat="1">
      <alignment horizontal="center" readingOrder="0" shrinkToFit="0" vertical="center" wrapText="1"/>
    </xf>
    <xf borderId="0" fillId="0" fontId="11" numFmtId="0" xfId="0" applyAlignment="1" applyFont="1">
      <alignment horizontal="center" shrinkToFit="0" vertical="center" wrapText="1"/>
    </xf>
    <xf borderId="5" fillId="0" fontId="11" numFmtId="0" xfId="0" applyAlignment="1" applyBorder="1" applyFont="1">
      <alignment horizontal="center" readingOrder="0" shrinkToFit="0" vertical="center" wrapText="1"/>
    </xf>
    <xf borderId="5" fillId="0" fontId="11" numFmtId="0" xfId="0" applyAlignment="1" applyBorder="1" applyFont="1">
      <alignment horizontal="center" shrinkToFit="0" vertical="center" wrapText="1"/>
    </xf>
    <xf borderId="5" fillId="0" fontId="11" numFmtId="166" xfId="0" applyAlignment="1" applyBorder="1" applyFont="1" applyNumberFormat="1">
      <alignment horizontal="center" readingOrder="0" shrinkToFit="0" vertical="center" wrapText="1"/>
    </xf>
    <xf borderId="2" fillId="19" fontId="14" numFmtId="0" xfId="0" applyAlignment="1" applyBorder="1" applyFill="1" applyFont="1">
      <alignment horizontal="center" readingOrder="0" shrinkToFit="0" vertical="center" wrapText="1"/>
    </xf>
    <xf borderId="5" fillId="19" fontId="14" numFmtId="0" xfId="0" applyAlignment="1" applyBorder="1" applyFont="1">
      <alignment horizontal="center" shrinkToFit="0" vertical="center" wrapText="1"/>
    </xf>
    <xf borderId="5" fillId="19" fontId="14" numFmtId="0" xfId="0" applyAlignment="1" applyBorder="1" applyFont="1">
      <alignment horizontal="center" readingOrder="0" shrinkToFit="0" vertical="center" wrapText="1"/>
    </xf>
    <xf borderId="5" fillId="0" fontId="29" numFmtId="0" xfId="0" applyAlignment="1" applyBorder="1" applyFont="1">
      <alignment horizontal="center" readingOrder="0" shrinkToFit="0" vertical="center" wrapText="1"/>
    </xf>
    <xf borderId="5" fillId="0" fontId="29" numFmtId="166" xfId="0" applyAlignment="1" applyBorder="1" applyFont="1" applyNumberFormat="1">
      <alignment horizontal="center" readingOrder="0" shrinkToFit="0" vertical="center" wrapText="1"/>
    </xf>
    <xf borderId="5" fillId="0" fontId="30" numFmtId="0" xfId="0" applyAlignment="1" applyBorder="1" applyFont="1">
      <alignment readingOrder="0" shrinkToFit="0" wrapText="1"/>
    </xf>
    <xf borderId="5" fillId="0" fontId="29" numFmtId="0" xfId="0" applyAlignment="1" applyBorder="1" applyFont="1">
      <alignment horizontal="center" shrinkToFit="0" vertical="center" wrapText="1"/>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11" Type="http://schemas.openxmlformats.org/officeDocument/2006/relationships/hyperlink" Target="https://youtu.be/sjIRrgt-npg?si=pwl5dfbRbc-sHF62" TargetMode="External"/><Relationship Id="rId10" Type="http://schemas.openxmlformats.org/officeDocument/2006/relationships/hyperlink" Target="https://www.facebook.com/share/v/1Fzf2pBiBw/" TargetMode="External"/><Relationship Id="rId13" Type="http://schemas.openxmlformats.org/officeDocument/2006/relationships/hyperlink" Target="https://www.facebook.com/share/p/16Fz43T2YQ/?mibextid=wwXIfr" TargetMode="External"/><Relationship Id="rId12" Type="http://schemas.openxmlformats.org/officeDocument/2006/relationships/hyperlink" Target="https://www.facebook.com/share/p/17wVQXDZLK/?mibextid=wwXIfr" TargetMode="External"/><Relationship Id="rId1" Type="http://schemas.openxmlformats.org/officeDocument/2006/relationships/hyperlink" Target="https://kinhtedothi.vn/phuong-binh-duong-phat-dong-ung-ho-quy-vi-nguoi-ngheo-va-dong-bao-vung-lu.918756.html" TargetMode="External"/><Relationship Id="rId2" Type="http://schemas.openxmlformats.org/officeDocument/2006/relationships/hyperlink" Target="https://www.facebook.com/share/p/1Azw965oiV/?mibextid=wwXIfr" TargetMode="External"/><Relationship Id="rId3" Type="http://schemas.openxmlformats.org/officeDocument/2006/relationships/hyperlink" Target="https://nld.com.vn/500-nguoi-tham-gia-tap-huan-ve-pccc-cnch-196251226132353358.htm?gidzl=3qKALgxpo1m8MmnLhUl17WrU0LYmlfL5GW1P3-Mno4101muCiBJ3IqS30bFbvyCUHr5KKMEJXlL-hV3E6m" TargetMode="External"/><Relationship Id="rId4" Type="http://schemas.openxmlformats.org/officeDocument/2006/relationships/hyperlink" Target="https://www.facebook.com/tuoitrethudaumot/posts/pfbid0S4QF27nhmmyEaRuNRfxNEHZDG3q2Q8UqFxsqxAsFjzkwpFmEiu2FrRizPDz8PEfal?rdid=5QPC5P5hZ1G5IYoY" TargetMode="External"/><Relationship Id="rId9" Type="http://schemas.openxmlformats.org/officeDocument/2006/relationships/hyperlink" Target="https://www.facebook.com/share/p/1Jo32XSzuK/?mibextid=wwXIfr" TargetMode="External"/><Relationship Id="rId15" Type="http://schemas.openxmlformats.org/officeDocument/2006/relationships/hyperlink" Target="https://ngaymoionline.com.vn/chu-dong-bao-dam-an-toan-phong-chay-chua-chay-tai-mieu-ba-thien-hau-truoc-mua-le-hoi-63330.html" TargetMode="External"/><Relationship Id="rId14" Type="http://schemas.openxmlformats.org/officeDocument/2006/relationships/hyperlink" Target="https://tuoitrethudo.vn/chu-dong-bao-dam-an-toan-pccc-tai-mieu-ba-thien-hau-300698.html" TargetMode="External"/><Relationship Id="rId17" Type="http://schemas.openxmlformats.org/officeDocument/2006/relationships/hyperlink" Target="https://baovanhoa.vn/doi-song/tphcm-chu-dong-phong-ngua-chay-no-tai-mieu-ba-thien-hau-truoc-mua-le-hoi-203978.html?zarsrc=30&amp;utm_source=zalo&amp;utm_medium=zalo&amp;utm_campaign=zalo" TargetMode="External"/><Relationship Id="rId16" Type="http://schemas.openxmlformats.org/officeDocument/2006/relationships/hyperlink" Target="https://youtu.be/qpeGkLQknmg?si=2T-9COJ-TQRLwwzY" TargetMode="External"/><Relationship Id="rId5" Type="http://schemas.openxmlformats.org/officeDocument/2006/relationships/hyperlink" Target="https://www.youtube.com/watch?v=qREr7yXxc4U" TargetMode="External"/><Relationship Id="rId19" Type="http://schemas.openxmlformats.org/officeDocument/2006/relationships/hyperlink" Target="https://nld.com.vn/cong-an-tphcm-tuyen-truyen-ve-chay-no-va-duoi-nuoc-tai-truong-hoc-19626032313495156.htm" TargetMode="External"/><Relationship Id="rId6" Type="http://schemas.openxmlformats.org/officeDocument/2006/relationships/hyperlink" Target="https://www.facebook.com/story.php?story_fbid=122128299765114472&amp;id=61583434160182&amp;mibextid=wwXIfr&amp;rdid=uz0XhH6Lkg78J5Ek" TargetMode="External"/><Relationship Id="rId18" Type="http://schemas.openxmlformats.org/officeDocument/2006/relationships/hyperlink" Target="https://nld.com.vn/canh-bao-nguy-co-chay-no-trong-mua-hanh-kho-dip-tet-nguyen-dan-binh-ngo-196260210133738892.htm" TargetMode="External"/><Relationship Id="rId7" Type="http://schemas.openxmlformats.org/officeDocument/2006/relationships/hyperlink" Target="https://nld.com.vn/van-dong-ho-kinh-doanh-thao-do-chuong-cop-196251229193350654.htm?gidzl=f1WMTvqXeMsZ1X1qdZYWQwm05NM9QwOvjLOVT8ezgckqK1XrYcclRhK65tRSQg1kj0KKS6OB2O0kdYAdQW" TargetMode="External"/><Relationship Id="rId8" Type="http://schemas.openxmlformats.org/officeDocument/2006/relationships/hyperlink" Target="https://www.facebook.com/share/v/17dSq1jazB/"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 max="3" width="14.75"/>
    <col customWidth="1" min="4" max="4" width="15.25"/>
    <col customWidth="1" min="6" max="6" width="16.0"/>
  </cols>
  <sheetData>
    <row r="1">
      <c r="A1" s="1" t="s">
        <v>0</v>
      </c>
      <c r="B1" s="1" t="s">
        <v>1</v>
      </c>
      <c r="C1" s="2" t="s">
        <v>2</v>
      </c>
      <c r="D1" s="3"/>
      <c r="E1" s="3"/>
      <c r="F1" s="4"/>
      <c r="G1" s="5" t="s">
        <v>3</v>
      </c>
      <c r="H1" s="3"/>
      <c r="I1" s="3"/>
      <c r="J1" s="3"/>
      <c r="K1" s="3"/>
      <c r="L1" s="3"/>
      <c r="M1" s="3"/>
      <c r="N1" s="3"/>
      <c r="O1" s="4"/>
      <c r="P1" s="6" t="s">
        <v>4</v>
      </c>
      <c r="Q1" s="3"/>
      <c r="R1" s="3"/>
      <c r="S1" s="4"/>
      <c r="T1" s="7"/>
      <c r="U1" s="6" t="s">
        <v>5</v>
      </c>
      <c r="V1" s="3"/>
      <c r="W1" s="4"/>
      <c r="X1" s="8" t="s">
        <v>6</v>
      </c>
      <c r="Y1" s="4"/>
      <c r="Z1" s="8" t="s">
        <v>7</v>
      </c>
      <c r="AA1" s="4"/>
      <c r="AB1" s="8" t="s">
        <v>8</v>
      </c>
      <c r="AC1" s="4"/>
      <c r="AD1" s="8" t="s">
        <v>9</v>
      </c>
      <c r="AE1" s="4"/>
    </row>
    <row r="2">
      <c r="A2" s="9"/>
      <c r="B2" s="9"/>
      <c r="C2" s="10" t="s">
        <v>10</v>
      </c>
      <c r="D2" s="10" t="s">
        <v>11</v>
      </c>
      <c r="E2" s="10" t="s">
        <v>12</v>
      </c>
      <c r="F2" s="11" t="s">
        <v>13</v>
      </c>
      <c r="G2" s="12" t="s">
        <v>14</v>
      </c>
      <c r="H2" s="12" t="s">
        <v>15</v>
      </c>
      <c r="I2" s="13" t="s">
        <v>16</v>
      </c>
      <c r="J2" s="1" t="s">
        <v>17</v>
      </c>
      <c r="K2" s="1" t="s">
        <v>18</v>
      </c>
      <c r="L2" s="14" t="s">
        <v>19</v>
      </c>
      <c r="M2" s="1" t="s">
        <v>20</v>
      </c>
      <c r="N2" s="14" t="s">
        <v>21</v>
      </c>
      <c r="O2" s="14" t="s">
        <v>22</v>
      </c>
      <c r="P2" s="10" t="s">
        <v>23</v>
      </c>
      <c r="Q2" s="10" t="s">
        <v>24</v>
      </c>
      <c r="R2" s="10" t="s">
        <v>25</v>
      </c>
      <c r="S2" s="10" t="s">
        <v>26</v>
      </c>
      <c r="T2" s="10" t="s">
        <v>27</v>
      </c>
      <c r="U2" s="10" t="s">
        <v>28</v>
      </c>
      <c r="V2" s="10" t="s">
        <v>25</v>
      </c>
      <c r="W2" s="10" t="s">
        <v>29</v>
      </c>
      <c r="X2" s="10" t="s">
        <v>30</v>
      </c>
      <c r="Y2" s="10" t="s">
        <v>31</v>
      </c>
      <c r="Z2" s="10" t="s">
        <v>30</v>
      </c>
      <c r="AA2" s="10" t="s">
        <v>31</v>
      </c>
      <c r="AB2" s="10" t="s">
        <v>30</v>
      </c>
      <c r="AC2" s="10" t="s">
        <v>31</v>
      </c>
      <c r="AD2" s="10" t="s">
        <v>30</v>
      </c>
      <c r="AE2" s="10" t="s">
        <v>31</v>
      </c>
    </row>
    <row r="3">
      <c r="A3" s="15" t="s">
        <v>32</v>
      </c>
      <c r="B3" s="4"/>
      <c r="C3" s="16">
        <v>6.0</v>
      </c>
      <c r="D3" s="16">
        <v>0.0</v>
      </c>
      <c r="E3" s="16">
        <v>0.0</v>
      </c>
      <c r="F3" s="16">
        <v>7.0</v>
      </c>
      <c r="G3" s="17">
        <v>712.0</v>
      </c>
      <c r="H3" s="4"/>
      <c r="I3" s="16">
        <v>57.0</v>
      </c>
      <c r="J3" s="16">
        <v>5360.0</v>
      </c>
      <c r="K3" s="16">
        <v>226.0</v>
      </c>
      <c r="L3" s="16">
        <v>138.0</v>
      </c>
      <c r="M3" s="16">
        <v>4103.7</v>
      </c>
      <c r="N3" s="18"/>
      <c r="O3" s="18"/>
      <c r="P3" s="16">
        <v>16.0</v>
      </c>
      <c r="Q3" s="16">
        <v>70.0</v>
      </c>
      <c r="R3" s="16">
        <v>17266.0</v>
      </c>
      <c r="S3" s="18"/>
      <c r="T3" s="18"/>
      <c r="U3" s="16">
        <v>52.0</v>
      </c>
      <c r="V3" s="16">
        <v>2020.0</v>
      </c>
      <c r="W3" s="18"/>
      <c r="X3" s="18"/>
      <c r="Y3" s="18"/>
      <c r="Z3" s="18"/>
      <c r="AA3" s="16">
        <v>30.0</v>
      </c>
      <c r="AB3" s="18"/>
      <c r="AC3" s="18"/>
      <c r="AD3" s="18"/>
      <c r="AE3" s="18"/>
    </row>
    <row r="4">
      <c r="A4" s="18"/>
      <c r="B4" s="19">
        <v>7.0</v>
      </c>
      <c r="C4" s="16">
        <v>5.0</v>
      </c>
      <c r="D4" s="16">
        <v>0.0</v>
      </c>
      <c r="E4" s="16">
        <v>3.0</v>
      </c>
      <c r="F4" s="16">
        <v>0.0</v>
      </c>
      <c r="G4" s="17">
        <v>1.0</v>
      </c>
      <c r="H4" s="4"/>
      <c r="I4" s="18"/>
      <c r="J4" s="16">
        <v>6.0</v>
      </c>
      <c r="K4" s="18"/>
      <c r="L4" s="18"/>
      <c r="M4" s="18"/>
      <c r="N4" s="18"/>
      <c r="O4" s="18"/>
      <c r="P4" s="16">
        <v>2.0</v>
      </c>
      <c r="Q4" s="16">
        <v>9.0</v>
      </c>
      <c r="R4" s="16">
        <v>2689.0</v>
      </c>
      <c r="S4" s="16">
        <v>2196.0</v>
      </c>
      <c r="T4" s="16">
        <v>297.0</v>
      </c>
      <c r="U4" s="16">
        <v>33.0</v>
      </c>
      <c r="V4" s="16">
        <v>1010.0</v>
      </c>
      <c r="W4" s="16">
        <v>238.0</v>
      </c>
      <c r="X4" s="18"/>
      <c r="Y4" s="18"/>
      <c r="Z4" s="18"/>
      <c r="AA4" s="16">
        <v>3.0</v>
      </c>
      <c r="AB4" s="18"/>
      <c r="AC4" s="18"/>
      <c r="AD4" s="18"/>
      <c r="AE4" s="18"/>
    </row>
    <row r="5">
      <c r="A5" s="18"/>
      <c r="B5" s="19">
        <v>8.0</v>
      </c>
      <c r="C5" s="16">
        <v>3.0</v>
      </c>
      <c r="D5" s="16">
        <v>6.0</v>
      </c>
      <c r="E5" s="16">
        <v>2.0</v>
      </c>
      <c r="F5" s="16">
        <v>1.0</v>
      </c>
      <c r="G5" s="16">
        <v>0.0</v>
      </c>
      <c r="H5" s="16">
        <v>0.0</v>
      </c>
      <c r="I5" s="16">
        <v>0.0</v>
      </c>
      <c r="J5" s="16">
        <v>0.0</v>
      </c>
      <c r="K5" s="16">
        <v>0.0</v>
      </c>
      <c r="L5" s="16">
        <v>0.0</v>
      </c>
      <c r="M5" s="16">
        <v>0.0</v>
      </c>
      <c r="N5" s="16">
        <v>0.0</v>
      </c>
      <c r="O5" s="16">
        <v>0.0</v>
      </c>
      <c r="P5" s="16">
        <v>0.0</v>
      </c>
      <c r="Q5" s="16">
        <v>69.0</v>
      </c>
      <c r="R5" s="16">
        <v>11705.0</v>
      </c>
      <c r="S5" s="16">
        <v>11502.0</v>
      </c>
      <c r="T5" s="16">
        <v>6929.0</v>
      </c>
      <c r="U5" s="16">
        <v>0.0</v>
      </c>
      <c r="V5" s="16">
        <v>0.0</v>
      </c>
      <c r="W5" s="16">
        <v>0.0</v>
      </c>
      <c r="X5" s="16">
        <v>0.0</v>
      </c>
      <c r="Y5" s="16">
        <v>0.0</v>
      </c>
      <c r="Z5" s="16">
        <v>0.0</v>
      </c>
      <c r="AA5" s="16">
        <v>0.0</v>
      </c>
      <c r="AB5" s="16">
        <v>0.0</v>
      </c>
      <c r="AC5" s="16">
        <v>0.0</v>
      </c>
      <c r="AD5" s="16">
        <v>0.0</v>
      </c>
      <c r="AE5" s="16">
        <v>0.0</v>
      </c>
    </row>
    <row r="6">
      <c r="A6" s="18"/>
      <c r="B6" s="19">
        <v>9.0</v>
      </c>
      <c r="C6" s="16">
        <v>3.0</v>
      </c>
      <c r="D6" s="16">
        <v>6.0</v>
      </c>
      <c r="E6" s="16">
        <v>2.0</v>
      </c>
      <c r="F6" s="16">
        <v>1.0</v>
      </c>
      <c r="G6" s="16">
        <v>53.0</v>
      </c>
      <c r="H6" s="16">
        <v>30.0</v>
      </c>
      <c r="I6" s="16">
        <v>0.0</v>
      </c>
      <c r="J6" s="16">
        <v>0.0</v>
      </c>
      <c r="K6" s="16">
        <v>0.0</v>
      </c>
      <c r="L6" s="16">
        <v>0.0</v>
      </c>
      <c r="M6" s="16">
        <v>0.0</v>
      </c>
      <c r="N6" s="16">
        <v>0.0</v>
      </c>
      <c r="O6" s="16">
        <v>0.0</v>
      </c>
      <c r="P6" s="16">
        <v>2.0</v>
      </c>
      <c r="Q6" s="16">
        <v>4.0</v>
      </c>
      <c r="R6" s="16">
        <v>1850.0</v>
      </c>
      <c r="S6" s="18"/>
      <c r="T6" s="16">
        <v>1850.0</v>
      </c>
      <c r="U6" s="16">
        <v>0.0</v>
      </c>
      <c r="V6" s="16">
        <v>0.0</v>
      </c>
      <c r="W6" s="16">
        <v>0.0</v>
      </c>
      <c r="X6" s="16">
        <v>0.0</v>
      </c>
      <c r="Y6" s="16">
        <v>0.0</v>
      </c>
      <c r="Z6" s="16">
        <v>0.0</v>
      </c>
      <c r="AA6" s="16">
        <v>0.0</v>
      </c>
      <c r="AB6" s="16">
        <v>0.0</v>
      </c>
      <c r="AC6" s="16">
        <v>0.0</v>
      </c>
      <c r="AD6" s="16">
        <v>0.0</v>
      </c>
      <c r="AE6" s="16">
        <v>0.0</v>
      </c>
    </row>
    <row r="7">
      <c r="A7" s="18"/>
      <c r="B7" s="19">
        <v>10.0</v>
      </c>
      <c r="C7" s="16">
        <v>1.0</v>
      </c>
      <c r="D7" s="16">
        <v>0.0</v>
      </c>
      <c r="E7" s="16">
        <v>1.0</v>
      </c>
      <c r="F7" s="16">
        <v>1.0</v>
      </c>
      <c r="G7" s="16">
        <v>160.0</v>
      </c>
      <c r="H7" s="16">
        <v>41.0</v>
      </c>
      <c r="I7" s="16">
        <v>0.0</v>
      </c>
      <c r="J7" s="16">
        <v>1206.0</v>
      </c>
      <c r="K7" s="16">
        <v>0.0</v>
      </c>
      <c r="L7" s="16">
        <v>0.0</v>
      </c>
      <c r="M7" s="16">
        <v>0.0</v>
      </c>
      <c r="N7" s="16">
        <v>0.0</v>
      </c>
      <c r="O7" s="16">
        <v>0.0</v>
      </c>
      <c r="P7" s="16">
        <v>1.0</v>
      </c>
      <c r="Q7" s="16">
        <v>8.0</v>
      </c>
      <c r="R7" s="16">
        <v>9165.0</v>
      </c>
      <c r="S7" s="16">
        <v>357.0</v>
      </c>
      <c r="T7" s="16">
        <v>10318.0</v>
      </c>
      <c r="U7" s="18"/>
      <c r="V7" s="18"/>
      <c r="W7" s="18"/>
      <c r="X7" s="18"/>
      <c r="Y7" s="18"/>
      <c r="Z7" s="18"/>
      <c r="AA7" s="18"/>
      <c r="AB7" s="18"/>
      <c r="AC7" s="18"/>
      <c r="AD7" s="18"/>
      <c r="AE7" s="18"/>
    </row>
    <row r="8">
      <c r="A8" s="18"/>
      <c r="B8" s="19">
        <v>11.0</v>
      </c>
      <c r="C8" s="16">
        <v>1.0</v>
      </c>
      <c r="D8" s="16">
        <v>5.0</v>
      </c>
      <c r="E8" s="16">
        <v>0.0</v>
      </c>
      <c r="F8" s="16">
        <v>0.0</v>
      </c>
      <c r="G8" s="16">
        <v>170.0</v>
      </c>
      <c r="H8" s="16">
        <v>149.0</v>
      </c>
      <c r="I8" s="16">
        <v>0.0</v>
      </c>
      <c r="J8" s="16">
        <v>1920.0</v>
      </c>
      <c r="K8" s="16">
        <v>0.0</v>
      </c>
      <c r="L8" s="16">
        <v>0.0</v>
      </c>
      <c r="M8" s="16">
        <v>0.0</v>
      </c>
      <c r="N8" s="16">
        <v>0.0</v>
      </c>
      <c r="O8" s="16">
        <v>0.0</v>
      </c>
      <c r="P8" s="16">
        <v>3.0</v>
      </c>
      <c r="Q8" s="16">
        <v>7.0</v>
      </c>
      <c r="R8" s="16">
        <v>4384.0</v>
      </c>
      <c r="S8" s="16">
        <v>362.0</v>
      </c>
      <c r="T8" s="16">
        <v>3360.0</v>
      </c>
      <c r="U8" s="16">
        <v>5.0</v>
      </c>
      <c r="V8" s="16">
        <v>307.0</v>
      </c>
      <c r="W8" s="16">
        <v>0.0</v>
      </c>
      <c r="X8" s="16">
        <v>0.0</v>
      </c>
      <c r="Y8" s="16">
        <v>0.0</v>
      </c>
      <c r="Z8" s="16">
        <v>1.0</v>
      </c>
      <c r="AA8" s="16">
        <v>1.0</v>
      </c>
      <c r="AB8" s="16">
        <v>0.0</v>
      </c>
      <c r="AC8" s="16">
        <v>0.0</v>
      </c>
      <c r="AD8" s="16">
        <v>0.0</v>
      </c>
      <c r="AE8" s="16">
        <v>0.0</v>
      </c>
    </row>
    <row r="9">
      <c r="A9" s="18"/>
      <c r="B9" s="19">
        <v>12.0</v>
      </c>
      <c r="C9" s="16">
        <v>1.0</v>
      </c>
      <c r="D9" s="16">
        <v>5.0</v>
      </c>
      <c r="E9" s="16">
        <v>1.0</v>
      </c>
      <c r="F9" s="16">
        <v>2.0</v>
      </c>
      <c r="G9" s="16">
        <v>38.0</v>
      </c>
      <c r="H9" s="16">
        <v>80.0</v>
      </c>
      <c r="I9" s="16">
        <v>1.0</v>
      </c>
      <c r="J9" s="16">
        <v>758.0</v>
      </c>
      <c r="K9" s="16">
        <v>3.0</v>
      </c>
      <c r="L9" s="16">
        <v>2.0</v>
      </c>
      <c r="M9" s="16">
        <v>50.0</v>
      </c>
      <c r="N9" s="16">
        <v>0.0</v>
      </c>
      <c r="O9" s="16">
        <v>0.0</v>
      </c>
      <c r="P9" s="16">
        <v>1.0</v>
      </c>
      <c r="Q9" s="16">
        <v>4.0</v>
      </c>
      <c r="R9" s="16">
        <v>1975.0</v>
      </c>
      <c r="S9" s="16">
        <v>200.0</v>
      </c>
      <c r="T9" s="16">
        <v>200.0</v>
      </c>
      <c r="U9" s="16">
        <v>21.0</v>
      </c>
      <c r="V9" s="16">
        <v>1217.0</v>
      </c>
      <c r="W9" s="16">
        <v>0.0</v>
      </c>
      <c r="X9" s="16">
        <v>11.0</v>
      </c>
      <c r="Y9" s="16">
        <v>0.0</v>
      </c>
      <c r="Z9" s="16">
        <v>9.0</v>
      </c>
      <c r="AA9" s="16">
        <v>4.0</v>
      </c>
      <c r="AB9" s="16">
        <v>2.0</v>
      </c>
      <c r="AC9" s="16">
        <v>0.0</v>
      </c>
      <c r="AD9" s="16">
        <v>0.0</v>
      </c>
      <c r="AE9" s="16">
        <v>0.0</v>
      </c>
    </row>
    <row r="10">
      <c r="A10" s="20"/>
      <c r="B10" s="21" t="s">
        <v>33</v>
      </c>
      <c r="C10" s="20">
        <f t="shared" ref="C10:AE10" si="1"> sum(C3:C9)</f>
        <v>20</v>
      </c>
      <c r="D10" s="20">
        <f t="shared" si="1"/>
        <v>22</v>
      </c>
      <c r="E10" s="20">
        <f t="shared" si="1"/>
        <v>9</v>
      </c>
      <c r="F10" s="20">
        <f t="shared" si="1"/>
        <v>12</v>
      </c>
      <c r="G10" s="20">
        <f t="shared" si="1"/>
        <v>1134</v>
      </c>
      <c r="H10" s="20">
        <f t="shared" si="1"/>
        <v>300</v>
      </c>
      <c r="I10" s="20">
        <f t="shared" si="1"/>
        <v>58</v>
      </c>
      <c r="J10" s="20">
        <f t="shared" si="1"/>
        <v>9250</v>
      </c>
      <c r="K10" s="20">
        <f t="shared" si="1"/>
        <v>229</v>
      </c>
      <c r="L10" s="20">
        <f t="shared" si="1"/>
        <v>140</v>
      </c>
      <c r="M10" s="20">
        <f t="shared" si="1"/>
        <v>4153.7</v>
      </c>
      <c r="N10" s="20">
        <f t="shared" si="1"/>
        <v>0</v>
      </c>
      <c r="O10" s="20">
        <f t="shared" si="1"/>
        <v>0</v>
      </c>
      <c r="P10" s="20">
        <f t="shared" si="1"/>
        <v>25</v>
      </c>
      <c r="Q10" s="20">
        <f t="shared" si="1"/>
        <v>171</v>
      </c>
      <c r="R10" s="20">
        <f t="shared" si="1"/>
        <v>49034</v>
      </c>
      <c r="S10" s="20">
        <f t="shared" si="1"/>
        <v>14617</v>
      </c>
      <c r="T10" s="20">
        <f t="shared" si="1"/>
        <v>22954</v>
      </c>
      <c r="U10" s="20">
        <f t="shared" si="1"/>
        <v>111</v>
      </c>
      <c r="V10" s="20">
        <f t="shared" si="1"/>
        <v>4554</v>
      </c>
      <c r="W10" s="20">
        <f t="shared" si="1"/>
        <v>238</v>
      </c>
      <c r="X10" s="20">
        <f t="shared" si="1"/>
        <v>11</v>
      </c>
      <c r="Y10" s="20">
        <f t="shared" si="1"/>
        <v>0</v>
      </c>
      <c r="Z10" s="20">
        <f t="shared" si="1"/>
        <v>10</v>
      </c>
      <c r="AA10" s="20">
        <f t="shared" si="1"/>
        <v>38</v>
      </c>
      <c r="AB10" s="20">
        <f t="shared" si="1"/>
        <v>2</v>
      </c>
      <c r="AC10" s="20">
        <f t="shared" si="1"/>
        <v>0</v>
      </c>
      <c r="AD10" s="20">
        <f t="shared" si="1"/>
        <v>0</v>
      </c>
      <c r="AE10" s="20">
        <f t="shared" si="1"/>
        <v>0</v>
      </c>
    </row>
    <row r="11">
      <c r="A11" s="20"/>
      <c r="B11" s="20"/>
      <c r="C11" s="20"/>
      <c r="D11" s="20"/>
      <c r="E11" s="20"/>
      <c r="F11" s="21" t="s">
        <v>34</v>
      </c>
      <c r="G11" s="20">
        <f t="shared" ref="G11:H11" si="2">SUM(G5:G9)</f>
        <v>421</v>
      </c>
      <c r="H11" s="20">
        <f t="shared" si="2"/>
        <v>300</v>
      </c>
      <c r="I11" s="20"/>
      <c r="J11" s="20"/>
      <c r="K11" s="20"/>
      <c r="L11" s="20"/>
      <c r="M11" s="20"/>
      <c r="N11" s="20"/>
      <c r="O11" s="20"/>
      <c r="P11" s="20"/>
      <c r="Q11" s="20"/>
      <c r="R11" s="20"/>
      <c r="S11" s="20"/>
      <c r="T11" s="20"/>
      <c r="U11" s="20"/>
      <c r="V11" s="20"/>
      <c r="W11" s="20"/>
      <c r="X11" s="20"/>
      <c r="Y11" s="20"/>
      <c r="Z11" s="20"/>
      <c r="AA11" s="20"/>
      <c r="AB11" s="20"/>
      <c r="AC11" s="20"/>
      <c r="AD11" s="20"/>
      <c r="AE11" s="20"/>
    </row>
    <row r="12">
      <c r="A12" s="20"/>
      <c r="B12" s="20"/>
      <c r="C12" s="20"/>
      <c r="D12" s="20"/>
      <c r="E12" s="20"/>
      <c r="F12" s="21" t="s">
        <v>35</v>
      </c>
      <c r="G12" s="20">
        <f>SUM(G11:H11)</f>
        <v>721</v>
      </c>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sheetData>
  <mergeCells count="13">
    <mergeCell ref="Z1:AA1"/>
    <mergeCell ref="AB1:AC1"/>
    <mergeCell ref="AD1:AE1"/>
    <mergeCell ref="A3:B3"/>
    <mergeCell ref="G3:H3"/>
    <mergeCell ref="G4:H4"/>
    <mergeCell ref="A1:A2"/>
    <mergeCell ref="B1:B2"/>
    <mergeCell ref="C1:F1"/>
    <mergeCell ref="G1:O1"/>
    <mergeCell ref="P1:S1"/>
    <mergeCell ref="U1:W1"/>
    <mergeCell ref="X1:Y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8.38"/>
    <col customWidth="1" min="3" max="3" width="14.63"/>
    <col customWidth="1" min="4" max="4" width="14.88"/>
    <col customWidth="1" min="5" max="5" width="12.63"/>
    <col customWidth="1" min="6" max="6" width="8.38"/>
    <col customWidth="1" min="7" max="8" width="13.88"/>
    <col customWidth="1" min="9" max="9" width="8.75"/>
    <col customWidth="1" min="10" max="10" width="11.63"/>
    <col customWidth="1" min="11" max="11" width="7.63"/>
    <col customWidth="1" min="12" max="12" width="9.13"/>
    <col customWidth="1" min="13" max="13" width="13.63"/>
    <col customWidth="1" min="14" max="14" width="12.88"/>
    <col customWidth="1" min="15" max="15" width="7.5"/>
    <col customWidth="1" min="16" max="16" width="12.38"/>
    <col customWidth="1" min="17" max="17" width="11.5"/>
    <col customWidth="1" min="18" max="19" width="13.63"/>
    <col customWidth="1" min="20" max="20" width="8.75"/>
    <col customWidth="1" min="21" max="21" width="11.88"/>
    <col customWidth="1" min="22" max="22" width="10.88"/>
    <col customWidth="1" min="23" max="23" width="15.0"/>
    <col customWidth="1" min="24" max="24" width="13.75"/>
    <col customWidth="1" min="25" max="26" width="13.13"/>
    <col customWidth="1" min="27" max="27" width="12.38"/>
    <col customWidth="1" min="28" max="28" width="14.25"/>
    <col customWidth="1" min="29" max="29" width="12.25"/>
    <col customWidth="1" min="30" max="30" width="12.5"/>
    <col customWidth="1" min="31" max="31" width="12.25"/>
  </cols>
  <sheetData>
    <row r="1">
      <c r="A1" s="22" t="s">
        <v>0</v>
      </c>
      <c r="B1" s="22" t="s">
        <v>1</v>
      </c>
      <c r="C1" s="23" t="s">
        <v>2</v>
      </c>
      <c r="D1" s="3"/>
      <c r="E1" s="3"/>
      <c r="F1" s="4"/>
      <c r="G1" s="24" t="s">
        <v>3</v>
      </c>
      <c r="H1" s="3"/>
      <c r="I1" s="3"/>
      <c r="J1" s="3"/>
      <c r="K1" s="3"/>
      <c r="L1" s="3"/>
      <c r="M1" s="3"/>
      <c r="N1" s="3"/>
      <c r="O1" s="4"/>
      <c r="P1" s="6" t="s">
        <v>4</v>
      </c>
      <c r="Q1" s="3"/>
      <c r="R1" s="3"/>
      <c r="S1" s="4"/>
      <c r="T1" s="25" t="s">
        <v>5</v>
      </c>
      <c r="U1" s="3"/>
      <c r="V1" s="26" t="s">
        <v>36</v>
      </c>
      <c r="W1" s="4"/>
      <c r="X1" s="27" t="s">
        <v>6</v>
      </c>
      <c r="Y1" s="4"/>
      <c r="Z1" s="27" t="s">
        <v>7</v>
      </c>
      <c r="AA1" s="4"/>
      <c r="AB1" s="27" t="s">
        <v>8</v>
      </c>
      <c r="AC1" s="4"/>
      <c r="AD1" s="27" t="s">
        <v>9</v>
      </c>
      <c r="AE1" s="4"/>
    </row>
    <row r="2" ht="52.5" customHeight="1">
      <c r="A2" s="9"/>
      <c r="B2" s="9"/>
      <c r="C2" s="28" t="s">
        <v>10</v>
      </c>
      <c r="D2" s="28" t="s">
        <v>11</v>
      </c>
      <c r="E2" s="28" t="s">
        <v>12</v>
      </c>
      <c r="F2" s="29" t="s">
        <v>13</v>
      </c>
      <c r="G2" s="30" t="s">
        <v>14</v>
      </c>
      <c r="H2" s="30" t="s">
        <v>15</v>
      </c>
      <c r="I2" s="31" t="s">
        <v>16</v>
      </c>
      <c r="J2" s="22" t="s">
        <v>17</v>
      </c>
      <c r="K2" s="22" t="s">
        <v>18</v>
      </c>
      <c r="L2" s="31" t="s">
        <v>19</v>
      </c>
      <c r="M2" s="22" t="s">
        <v>20</v>
      </c>
      <c r="N2" s="31" t="s">
        <v>21</v>
      </c>
      <c r="O2" s="31" t="s">
        <v>22</v>
      </c>
      <c r="P2" s="28" t="s">
        <v>23</v>
      </c>
      <c r="Q2" s="28" t="s">
        <v>24</v>
      </c>
      <c r="R2" s="28" t="s">
        <v>25</v>
      </c>
      <c r="S2" s="28" t="s">
        <v>26</v>
      </c>
      <c r="T2" s="28" t="s">
        <v>28</v>
      </c>
      <c r="U2" s="28" t="s">
        <v>25</v>
      </c>
      <c r="V2" s="32" t="s">
        <v>37</v>
      </c>
      <c r="W2" s="32" t="s">
        <v>25</v>
      </c>
      <c r="X2" s="28" t="s">
        <v>30</v>
      </c>
      <c r="Y2" s="28" t="s">
        <v>31</v>
      </c>
      <c r="Z2" s="28" t="s">
        <v>30</v>
      </c>
      <c r="AA2" s="28" t="s">
        <v>31</v>
      </c>
      <c r="AB2" s="28" t="s">
        <v>30</v>
      </c>
      <c r="AC2" s="28" t="s">
        <v>31</v>
      </c>
      <c r="AD2" s="28" t="s">
        <v>30</v>
      </c>
      <c r="AE2" s="28" t="s">
        <v>31</v>
      </c>
    </row>
    <row r="3">
      <c r="A3" s="33">
        <v>15.0</v>
      </c>
      <c r="B3" s="34">
        <v>11.0</v>
      </c>
      <c r="C3" s="33">
        <v>0.0</v>
      </c>
      <c r="D3" s="33">
        <v>1.0</v>
      </c>
      <c r="E3" s="33">
        <v>0.0</v>
      </c>
      <c r="F3" s="33">
        <v>0.0</v>
      </c>
      <c r="G3" s="33">
        <v>3.0</v>
      </c>
      <c r="H3" s="33">
        <v>5.0</v>
      </c>
      <c r="I3" s="33"/>
      <c r="J3" s="33">
        <v>51.0</v>
      </c>
      <c r="K3" s="33">
        <v>0.0</v>
      </c>
      <c r="L3" s="33">
        <v>0.0</v>
      </c>
      <c r="M3" s="33">
        <v>0.0</v>
      </c>
      <c r="N3" s="33">
        <v>0.0</v>
      </c>
      <c r="O3" s="33">
        <v>0.0</v>
      </c>
      <c r="P3" s="33">
        <v>0.0</v>
      </c>
      <c r="Q3" s="33">
        <v>0.0</v>
      </c>
      <c r="R3" s="33">
        <v>0.0</v>
      </c>
      <c r="S3" s="33">
        <v>0.0</v>
      </c>
      <c r="T3" s="33">
        <v>0.0</v>
      </c>
      <c r="U3" s="33">
        <v>0.0</v>
      </c>
      <c r="V3" s="35">
        <f t="shared" ref="V3:W3" si="1">Q3+T3</f>
        <v>0</v>
      </c>
      <c r="W3" s="35">
        <f t="shared" si="1"/>
        <v>0</v>
      </c>
      <c r="X3" s="36">
        <f t="shared" ref="X3:X30" si="3">sum(G3:H3)</f>
        <v>8</v>
      </c>
      <c r="Y3" s="36">
        <v>0.0</v>
      </c>
      <c r="Z3" s="36">
        <v>0.0</v>
      </c>
      <c r="AA3" s="36">
        <v>0.0</v>
      </c>
      <c r="AB3" s="36">
        <v>0.0</v>
      </c>
      <c r="AC3" s="36">
        <v>0.0</v>
      </c>
      <c r="AD3" s="36">
        <v>0.0</v>
      </c>
      <c r="AE3" s="36">
        <v>0.0</v>
      </c>
    </row>
    <row r="4">
      <c r="A4" s="33">
        <v>16.0</v>
      </c>
      <c r="B4" s="34">
        <v>11.0</v>
      </c>
      <c r="C4" s="33">
        <v>0.0</v>
      </c>
      <c r="D4" s="37">
        <v>0.0</v>
      </c>
      <c r="E4" s="33">
        <v>0.0</v>
      </c>
      <c r="F4" s="33">
        <v>1.0</v>
      </c>
      <c r="G4" s="33">
        <v>2.0</v>
      </c>
      <c r="H4" s="33">
        <v>7.0</v>
      </c>
      <c r="I4" s="33"/>
      <c r="J4" s="33">
        <v>48.0</v>
      </c>
      <c r="K4" s="33">
        <v>0.0</v>
      </c>
      <c r="L4" s="33">
        <v>0.0</v>
      </c>
      <c r="M4" s="33">
        <v>0.0</v>
      </c>
      <c r="N4" s="33">
        <v>0.0</v>
      </c>
      <c r="O4" s="33">
        <v>0.0</v>
      </c>
      <c r="P4" s="33">
        <v>0.0</v>
      </c>
      <c r="Q4" s="33">
        <v>0.0</v>
      </c>
      <c r="R4" s="33">
        <v>0.0</v>
      </c>
      <c r="S4" s="33">
        <v>0.0</v>
      </c>
      <c r="T4" s="33">
        <v>0.0</v>
      </c>
      <c r="U4" s="33">
        <v>0.0</v>
      </c>
      <c r="V4" s="35">
        <f t="shared" ref="V4:W4" si="2">Q4+T4</f>
        <v>0</v>
      </c>
      <c r="W4" s="35">
        <f t="shared" si="2"/>
        <v>0</v>
      </c>
      <c r="X4" s="36">
        <f t="shared" si="3"/>
        <v>9</v>
      </c>
      <c r="Y4" s="36">
        <v>0.0</v>
      </c>
      <c r="Z4" s="36">
        <v>0.0</v>
      </c>
      <c r="AA4" s="36">
        <v>0.0</v>
      </c>
      <c r="AB4" s="36">
        <v>0.0</v>
      </c>
      <c r="AC4" s="36">
        <v>0.0</v>
      </c>
      <c r="AD4" s="36">
        <v>0.0</v>
      </c>
      <c r="AE4" s="36">
        <v>0.0</v>
      </c>
    </row>
    <row r="5">
      <c r="A5" s="33">
        <v>17.0</v>
      </c>
      <c r="B5" s="34">
        <v>11.0</v>
      </c>
      <c r="C5" s="33">
        <v>0.0</v>
      </c>
      <c r="D5" s="33">
        <v>0.0</v>
      </c>
      <c r="E5" s="33">
        <v>0.0</v>
      </c>
      <c r="F5" s="33">
        <v>0.0</v>
      </c>
      <c r="G5" s="33">
        <v>0.0</v>
      </c>
      <c r="H5" s="33">
        <v>0.0</v>
      </c>
      <c r="I5" s="33"/>
      <c r="J5" s="38">
        <f t="shared" ref="J5:J7" si="5">sum(G5:H5)*6</f>
        <v>0</v>
      </c>
      <c r="K5" s="33">
        <v>0.0</v>
      </c>
      <c r="L5" s="33">
        <v>0.0</v>
      </c>
      <c r="M5" s="33">
        <v>0.0</v>
      </c>
      <c r="N5" s="33">
        <v>0.0</v>
      </c>
      <c r="O5" s="33">
        <v>0.0</v>
      </c>
      <c r="P5" s="33">
        <v>0.0</v>
      </c>
      <c r="Q5" s="33">
        <v>0.0</v>
      </c>
      <c r="R5" s="33">
        <v>0.0</v>
      </c>
      <c r="S5" s="33">
        <v>0.0</v>
      </c>
      <c r="T5" s="33">
        <v>0.0</v>
      </c>
      <c r="U5" s="33">
        <v>0.0</v>
      </c>
      <c r="V5" s="35">
        <f t="shared" ref="V5:W5" si="4">Q5+T5</f>
        <v>0</v>
      </c>
      <c r="W5" s="35">
        <f t="shared" si="4"/>
        <v>0</v>
      </c>
      <c r="X5" s="36">
        <f t="shared" si="3"/>
        <v>0</v>
      </c>
      <c r="Y5" s="36">
        <v>0.0</v>
      </c>
      <c r="Z5" s="36">
        <v>0.0</v>
      </c>
      <c r="AA5" s="36">
        <v>0.0</v>
      </c>
      <c r="AB5" s="36">
        <v>0.0</v>
      </c>
      <c r="AC5" s="36">
        <v>0.0</v>
      </c>
      <c r="AD5" s="36">
        <v>0.0</v>
      </c>
      <c r="AE5" s="36">
        <v>0.0</v>
      </c>
    </row>
    <row r="6">
      <c r="A6" s="33">
        <v>18.0</v>
      </c>
      <c r="B6" s="34">
        <v>11.0</v>
      </c>
      <c r="C6" s="33">
        <v>0.0</v>
      </c>
      <c r="D6" s="33">
        <v>0.0</v>
      </c>
      <c r="E6" s="33">
        <v>0.0</v>
      </c>
      <c r="F6" s="33">
        <v>0.0</v>
      </c>
      <c r="G6" s="33">
        <v>1.0</v>
      </c>
      <c r="H6" s="33">
        <v>1.0</v>
      </c>
      <c r="I6" s="33"/>
      <c r="J6" s="38">
        <f t="shared" si="5"/>
        <v>12</v>
      </c>
      <c r="K6" s="33">
        <v>0.0</v>
      </c>
      <c r="L6" s="33">
        <v>0.0</v>
      </c>
      <c r="M6" s="33">
        <v>0.0</v>
      </c>
      <c r="N6" s="33">
        <v>0.0</v>
      </c>
      <c r="O6" s="33">
        <v>0.0</v>
      </c>
      <c r="P6" s="33">
        <v>0.0</v>
      </c>
      <c r="Q6" s="33">
        <v>0.0</v>
      </c>
      <c r="R6" s="33">
        <v>0.0</v>
      </c>
      <c r="S6" s="33">
        <v>0.0</v>
      </c>
      <c r="T6" s="33">
        <v>0.0</v>
      </c>
      <c r="U6" s="33">
        <v>0.0</v>
      </c>
      <c r="V6" s="35">
        <f t="shared" ref="V6:W6" si="6">Q6+T6</f>
        <v>0</v>
      </c>
      <c r="W6" s="35">
        <f t="shared" si="6"/>
        <v>0</v>
      </c>
      <c r="X6" s="36">
        <f t="shared" si="3"/>
        <v>2</v>
      </c>
      <c r="Y6" s="36">
        <v>0.0</v>
      </c>
      <c r="Z6" s="36">
        <v>0.0</v>
      </c>
      <c r="AA6" s="36">
        <v>0.0</v>
      </c>
      <c r="AB6" s="36">
        <v>0.0</v>
      </c>
      <c r="AC6" s="36">
        <v>0.0</v>
      </c>
      <c r="AD6" s="36">
        <v>0.0</v>
      </c>
      <c r="AE6" s="36">
        <v>0.0</v>
      </c>
    </row>
    <row r="7">
      <c r="A7" s="33">
        <v>19.0</v>
      </c>
      <c r="B7" s="34">
        <v>11.0</v>
      </c>
      <c r="C7" s="33">
        <v>0.0</v>
      </c>
      <c r="D7" s="33">
        <v>0.0</v>
      </c>
      <c r="E7" s="33">
        <v>0.0</v>
      </c>
      <c r="F7" s="33">
        <v>0.0</v>
      </c>
      <c r="G7" s="33">
        <v>0.0</v>
      </c>
      <c r="H7" s="33">
        <v>0.0</v>
      </c>
      <c r="I7" s="33"/>
      <c r="J7" s="38">
        <f t="shared" si="5"/>
        <v>0</v>
      </c>
      <c r="K7" s="33">
        <v>0.0</v>
      </c>
      <c r="L7" s="33">
        <v>0.0</v>
      </c>
      <c r="M7" s="33">
        <v>0.0</v>
      </c>
      <c r="N7" s="33">
        <v>0.0</v>
      </c>
      <c r="O7" s="33">
        <v>0.0</v>
      </c>
      <c r="P7" s="33">
        <v>0.0</v>
      </c>
      <c r="Q7" s="33">
        <v>1.0</v>
      </c>
      <c r="R7" s="33">
        <v>1200.0</v>
      </c>
      <c r="S7" s="33">
        <v>0.0</v>
      </c>
      <c r="T7" s="33">
        <v>0.0</v>
      </c>
      <c r="U7" s="33">
        <v>0.0</v>
      </c>
      <c r="V7" s="35">
        <f t="shared" ref="V7:W7" si="7">Q7+T7</f>
        <v>1</v>
      </c>
      <c r="W7" s="35">
        <f t="shared" si="7"/>
        <v>1200</v>
      </c>
      <c r="X7" s="36">
        <f t="shared" si="3"/>
        <v>0</v>
      </c>
      <c r="Y7" s="36">
        <v>0.0</v>
      </c>
      <c r="Z7" s="36">
        <v>0.0</v>
      </c>
      <c r="AA7" s="36">
        <v>0.0</v>
      </c>
      <c r="AB7" s="36">
        <v>0.0</v>
      </c>
      <c r="AC7" s="36">
        <v>0.0</v>
      </c>
      <c r="AD7" s="36">
        <v>0.0</v>
      </c>
      <c r="AE7" s="36">
        <v>0.0</v>
      </c>
    </row>
    <row r="8">
      <c r="A8" s="33">
        <v>20.0</v>
      </c>
      <c r="B8" s="34">
        <v>11.0</v>
      </c>
      <c r="C8" s="33">
        <v>0.0</v>
      </c>
      <c r="D8" s="33">
        <v>0.0</v>
      </c>
      <c r="E8" s="33">
        <v>0.0</v>
      </c>
      <c r="F8" s="33">
        <v>0.0</v>
      </c>
      <c r="G8" s="33">
        <v>0.0</v>
      </c>
      <c r="H8" s="33">
        <v>2.0</v>
      </c>
      <c r="I8" s="33"/>
      <c r="J8" s="33">
        <v>6.0</v>
      </c>
      <c r="K8" s="33">
        <v>0.0</v>
      </c>
      <c r="L8" s="33">
        <v>0.0</v>
      </c>
      <c r="M8" s="33">
        <v>0.0</v>
      </c>
      <c r="N8" s="33">
        <v>0.0</v>
      </c>
      <c r="O8" s="33">
        <v>0.0</v>
      </c>
      <c r="P8" s="33">
        <v>0.0</v>
      </c>
      <c r="Q8" s="33">
        <v>0.0</v>
      </c>
      <c r="R8" s="33">
        <v>0.0</v>
      </c>
      <c r="S8" s="33">
        <v>0.0</v>
      </c>
      <c r="T8" s="33">
        <v>0.0</v>
      </c>
      <c r="U8" s="33">
        <v>0.0</v>
      </c>
      <c r="V8" s="35">
        <f t="shared" ref="V8:W8" si="8">Q8+T8</f>
        <v>0</v>
      </c>
      <c r="W8" s="35">
        <f t="shared" si="8"/>
        <v>0</v>
      </c>
      <c r="X8" s="36">
        <f t="shared" si="3"/>
        <v>2</v>
      </c>
      <c r="Y8" s="36">
        <v>0.0</v>
      </c>
      <c r="Z8" s="36">
        <v>0.0</v>
      </c>
      <c r="AA8" s="36">
        <v>0.0</v>
      </c>
      <c r="AB8" s="36">
        <v>0.0</v>
      </c>
      <c r="AC8" s="36">
        <v>0.0</v>
      </c>
      <c r="AD8" s="36">
        <v>0.0</v>
      </c>
      <c r="AE8" s="36">
        <v>0.0</v>
      </c>
    </row>
    <row r="9">
      <c r="A9" s="33">
        <v>21.0</v>
      </c>
      <c r="B9" s="34">
        <v>11.0</v>
      </c>
      <c r="C9" s="33">
        <v>0.0</v>
      </c>
      <c r="D9" s="33">
        <v>0.0</v>
      </c>
      <c r="E9" s="33">
        <v>0.0</v>
      </c>
      <c r="F9" s="33">
        <v>0.0</v>
      </c>
      <c r="G9" s="33">
        <v>2.0</v>
      </c>
      <c r="H9" s="33">
        <v>0.0</v>
      </c>
      <c r="I9" s="33"/>
      <c r="J9" s="33">
        <v>22.0</v>
      </c>
      <c r="K9" s="33">
        <v>0.0</v>
      </c>
      <c r="L9" s="33">
        <v>0.0</v>
      </c>
      <c r="M9" s="33">
        <v>0.0</v>
      </c>
      <c r="N9" s="33">
        <v>0.0</v>
      </c>
      <c r="O9" s="33">
        <v>0.0</v>
      </c>
      <c r="P9" s="33">
        <v>0.0</v>
      </c>
      <c r="Q9" s="33">
        <v>0.0</v>
      </c>
      <c r="R9" s="33">
        <v>0.0</v>
      </c>
      <c r="S9" s="33">
        <v>0.0</v>
      </c>
      <c r="T9" s="33">
        <v>0.0</v>
      </c>
      <c r="U9" s="33">
        <v>0.0</v>
      </c>
      <c r="V9" s="35">
        <f t="shared" ref="V9:W9" si="9">Q9+T9</f>
        <v>0</v>
      </c>
      <c r="W9" s="35">
        <f t="shared" si="9"/>
        <v>0</v>
      </c>
      <c r="X9" s="36">
        <f t="shared" si="3"/>
        <v>2</v>
      </c>
      <c r="Y9" s="36">
        <v>0.0</v>
      </c>
      <c r="Z9" s="36">
        <v>0.0</v>
      </c>
      <c r="AA9" s="36">
        <v>0.0</v>
      </c>
      <c r="AB9" s="36">
        <v>0.0</v>
      </c>
      <c r="AC9" s="36">
        <v>0.0</v>
      </c>
      <c r="AD9" s="36">
        <v>0.0</v>
      </c>
      <c r="AE9" s="36">
        <v>0.0</v>
      </c>
    </row>
    <row r="10">
      <c r="A10" s="33">
        <v>22.0</v>
      </c>
      <c r="B10" s="34">
        <v>11.0</v>
      </c>
      <c r="C10" s="33">
        <v>0.0</v>
      </c>
      <c r="D10" s="33">
        <v>0.0</v>
      </c>
      <c r="E10" s="33">
        <v>0.0</v>
      </c>
      <c r="F10" s="33">
        <v>0.0</v>
      </c>
      <c r="G10" s="33">
        <v>0.0</v>
      </c>
      <c r="H10" s="33">
        <v>0.0</v>
      </c>
      <c r="I10" s="33"/>
      <c r="J10" s="33">
        <v>0.0</v>
      </c>
      <c r="K10" s="33">
        <v>0.0</v>
      </c>
      <c r="L10" s="33">
        <v>0.0</v>
      </c>
      <c r="M10" s="33">
        <v>0.0</v>
      </c>
      <c r="N10" s="33">
        <v>0.0</v>
      </c>
      <c r="O10" s="33">
        <v>0.0</v>
      </c>
      <c r="P10" s="33">
        <v>0.0</v>
      </c>
      <c r="Q10" s="33">
        <v>0.0</v>
      </c>
      <c r="R10" s="33">
        <v>0.0</v>
      </c>
      <c r="S10" s="33">
        <v>0.0</v>
      </c>
      <c r="T10" s="33">
        <v>0.0</v>
      </c>
      <c r="U10" s="33">
        <v>0.0</v>
      </c>
      <c r="V10" s="35">
        <f t="shared" ref="V10:W10" si="10">Q10+T10</f>
        <v>0</v>
      </c>
      <c r="W10" s="35">
        <f t="shared" si="10"/>
        <v>0</v>
      </c>
      <c r="X10" s="36">
        <f t="shared" si="3"/>
        <v>0</v>
      </c>
      <c r="Y10" s="36">
        <v>0.0</v>
      </c>
      <c r="Z10" s="36">
        <v>0.0</v>
      </c>
      <c r="AA10" s="36">
        <v>0.0</v>
      </c>
      <c r="AB10" s="36">
        <v>0.0</v>
      </c>
      <c r="AC10" s="36">
        <v>0.0</v>
      </c>
      <c r="AD10" s="36">
        <v>0.0</v>
      </c>
      <c r="AE10" s="36">
        <v>0.0</v>
      </c>
    </row>
    <row r="11">
      <c r="A11" s="33">
        <v>23.0</v>
      </c>
      <c r="B11" s="34">
        <v>11.0</v>
      </c>
      <c r="C11" s="33">
        <v>1.0</v>
      </c>
      <c r="D11" s="33">
        <v>1.0</v>
      </c>
      <c r="E11" s="33">
        <v>0.0</v>
      </c>
      <c r="F11" s="33">
        <v>0.0</v>
      </c>
      <c r="G11" s="33">
        <v>0.0</v>
      </c>
      <c r="H11" s="33">
        <v>0.0</v>
      </c>
      <c r="I11" s="33"/>
      <c r="J11" s="33">
        <v>0.0</v>
      </c>
      <c r="K11" s="33">
        <v>0.0</v>
      </c>
      <c r="L11" s="33">
        <v>0.0</v>
      </c>
      <c r="M11" s="33">
        <v>0.0</v>
      </c>
      <c r="N11" s="33">
        <v>0.0</v>
      </c>
      <c r="O11" s="33">
        <v>0.0</v>
      </c>
      <c r="P11" s="33">
        <v>0.0</v>
      </c>
      <c r="Q11" s="33">
        <v>0.0</v>
      </c>
      <c r="R11" s="33">
        <v>0.0</v>
      </c>
      <c r="S11" s="33">
        <v>0.0</v>
      </c>
      <c r="T11" s="33">
        <v>0.0</v>
      </c>
      <c r="U11" s="33">
        <v>0.0</v>
      </c>
      <c r="V11" s="35">
        <f t="shared" ref="V11:W11" si="11">Q11+T11</f>
        <v>0</v>
      </c>
      <c r="W11" s="35">
        <f t="shared" si="11"/>
        <v>0</v>
      </c>
      <c r="X11" s="36">
        <f t="shared" si="3"/>
        <v>0</v>
      </c>
      <c r="Y11" s="36">
        <v>0.0</v>
      </c>
      <c r="Z11" s="36">
        <v>0.0</v>
      </c>
      <c r="AA11" s="36">
        <v>0.0</v>
      </c>
      <c r="AB11" s="36">
        <v>0.0</v>
      </c>
      <c r="AC11" s="36">
        <v>0.0</v>
      </c>
      <c r="AD11" s="36">
        <v>0.0</v>
      </c>
      <c r="AE11" s="36">
        <v>0.0</v>
      </c>
    </row>
    <row r="12">
      <c r="A12" s="33">
        <v>24.0</v>
      </c>
      <c r="B12" s="34">
        <v>11.0</v>
      </c>
      <c r="C12" s="33">
        <v>0.0</v>
      </c>
      <c r="D12" s="33">
        <v>0.0</v>
      </c>
      <c r="E12" s="33">
        <v>0.0</v>
      </c>
      <c r="F12" s="33">
        <v>0.0</v>
      </c>
      <c r="G12" s="33">
        <v>0.0</v>
      </c>
      <c r="H12" s="33">
        <v>0.0</v>
      </c>
      <c r="I12" s="33"/>
      <c r="J12" s="33">
        <v>0.0</v>
      </c>
      <c r="K12" s="33">
        <v>0.0</v>
      </c>
      <c r="L12" s="33">
        <v>0.0</v>
      </c>
      <c r="M12" s="33">
        <v>0.0</v>
      </c>
      <c r="N12" s="33">
        <v>0.0</v>
      </c>
      <c r="O12" s="33">
        <v>0.0</v>
      </c>
      <c r="P12" s="33">
        <v>0.0</v>
      </c>
      <c r="Q12" s="33">
        <v>0.0</v>
      </c>
      <c r="R12" s="33">
        <v>0.0</v>
      </c>
      <c r="S12" s="33">
        <v>0.0</v>
      </c>
      <c r="T12" s="33">
        <v>0.0</v>
      </c>
      <c r="U12" s="33">
        <v>0.0</v>
      </c>
      <c r="V12" s="35">
        <f t="shared" ref="V12:W12" si="12">Q12+T12</f>
        <v>0</v>
      </c>
      <c r="W12" s="35">
        <f t="shared" si="12"/>
        <v>0</v>
      </c>
      <c r="X12" s="36">
        <f t="shared" si="3"/>
        <v>0</v>
      </c>
      <c r="Y12" s="36">
        <v>0.0</v>
      </c>
      <c r="Z12" s="36">
        <v>0.0</v>
      </c>
      <c r="AA12" s="36">
        <v>0.0</v>
      </c>
      <c r="AB12" s="36">
        <v>0.0</v>
      </c>
      <c r="AC12" s="36">
        <v>0.0</v>
      </c>
      <c r="AD12" s="36">
        <v>0.0</v>
      </c>
      <c r="AE12" s="36">
        <v>0.0</v>
      </c>
    </row>
    <row r="13">
      <c r="A13" s="33">
        <v>25.0</v>
      </c>
      <c r="B13" s="34">
        <v>11.0</v>
      </c>
      <c r="C13" s="33">
        <v>0.0</v>
      </c>
      <c r="D13" s="33">
        <v>1.0</v>
      </c>
      <c r="E13" s="33">
        <v>0.0</v>
      </c>
      <c r="F13" s="33">
        <v>0.0</v>
      </c>
      <c r="G13" s="33">
        <v>0.0</v>
      </c>
      <c r="H13" s="33">
        <v>0.0</v>
      </c>
      <c r="I13" s="33"/>
      <c r="J13" s="33">
        <v>0.0</v>
      </c>
      <c r="K13" s="33">
        <v>0.0</v>
      </c>
      <c r="L13" s="33">
        <v>0.0</v>
      </c>
      <c r="M13" s="33">
        <v>0.0</v>
      </c>
      <c r="N13" s="33">
        <v>0.0</v>
      </c>
      <c r="O13" s="33">
        <v>0.0</v>
      </c>
      <c r="P13" s="33">
        <v>0.0</v>
      </c>
      <c r="Q13" s="33">
        <v>0.0</v>
      </c>
      <c r="R13" s="33">
        <v>0.0</v>
      </c>
      <c r="S13" s="33">
        <v>0.0</v>
      </c>
      <c r="T13" s="33">
        <v>0.0</v>
      </c>
      <c r="U13" s="33">
        <v>0.0</v>
      </c>
      <c r="V13" s="35">
        <f t="shared" ref="V13:W13" si="13">Q13+T13</f>
        <v>0</v>
      </c>
      <c r="W13" s="35">
        <f t="shared" si="13"/>
        <v>0</v>
      </c>
      <c r="X13" s="36">
        <f t="shared" si="3"/>
        <v>0</v>
      </c>
      <c r="Y13" s="36">
        <v>0.0</v>
      </c>
      <c r="Z13" s="36">
        <v>0.0</v>
      </c>
      <c r="AA13" s="36">
        <v>0.0</v>
      </c>
      <c r="AB13" s="36">
        <v>0.0</v>
      </c>
      <c r="AC13" s="36">
        <v>0.0</v>
      </c>
      <c r="AD13" s="36">
        <v>0.0</v>
      </c>
      <c r="AE13" s="36">
        <v>0.0</v>
      </c>
    </row>
    <row r="14">
      <c r="A14" s="33">
        <v>26.0</v>
      </c>
      <c r="B14" s="34">
        <v>11.0</v>
      </c>
      <c r="C14" s="33">
        <v>0.0</v>
      </c>
      <c r="D14" s="33">
        <v>0.0</v>
      </c>
      <c r="E14" s="33">
        <v>0.0</v>
      </c>
      <c r="F14" s="33">
        <v>0.0</v>
      </c>
      <c r="G14" s="33">
        <v>1.0</v>
      </c>
      <c r="H14" s="33">
        <v>0.0</v>
      </c>
      <c r="I14" s="33"/>
      <c r="J14" s="33">
        <v>5.0</v>
      </c>
      <c r="K14" s="33">
        <v>0.0</v>
      </c>
      <c r="L14" s="33">
        <v>0.0</v>
      </c>
      <c r="M14" s="33">
        <v>0.0</v>
      </c>
      <c r="N14" s="33">
        <v>0.0</v>
      </c>
      <c r="O14" s="33">
        <v>0.0</v>
      </c>
      <c r="P14" s="33">
        <v>0.0</v>
      </c>
      <c r="Q14" s="33">
        <v>0.0</v>
      </c>
      <c r="R14" s="33">
        <v>0.0</v>
      </c>
      <c r="S14" s="33">
        <v>0.0</v>
      </c>
      <c r="T14" s="33">
        <v>0.0</v>
      </c>
      <c r="U14" s="33">
        <v>0.0</v>
      </c>
      <c r="V14" s="35">
        <f t="shared" ref="V14:W14" si="14">Q14+T14</f>
        <v>0</v>
      </c>
      <c r="W14" s="35">
        <f t="shared" si="14"/>
        <v>0</v>
      </c>
      <c r="X14" s="36">
        <f t="shared" si="3"/>
        <v>1</v>
      </c>
      <c r="Y14" s="36">
        <v>0.0</v>
      </c>
      <c r="Z14" s="36">
        <v>0.0</v>
      </c>
      <c r="AA14" s="36">
        <v>0.0</v>
      </c>
      <c r="AB14" s="36">
        <v>0.0</v>
      </c>
      <c r="AC14" s="36">
        <v>0.0</v>
      </c>
      <c r="AD14" s="36">
        <v>0.0</v>
      </c>
      <c r="AE14" s="36">
        <v>0.0</v>
      </c>
    </row>
    <row r="15">
      <c r="A15" s="33">
        <v>27.0</v>
      </c>
      <c r="B15" s="34">
        <v>11.0</v>
      </c>
      <c r="C15" s="33">
        <v>0.0</v>
      </c>
      <c r="D15" s="33">
        <v>0.0</v>
      </c>
      <c r="E15" s="33">
        <v>0.0</v>
      </c>
      <c r="F15" s="33">
        <v>0.0</v>
      </c>
      <c r="G15" s="33">
        <v>0.0</v>
      </c>
      <c r="H15" s="33">
        <v>3.0</v>
      </c>
      <c r="I15" s="33"/>
      <c r="J15" s="33">
        <v>22.0</v>
      </c>
      <c r="K15" s="33">
        <v>0.0</v>
      </c>
      <c r="L15" s="33">
        <v>0.0</v>
      </c>
      <c r="M15" s="33">
        <v>0.0</v>
      </c>
      <c r="N15" s="33">
        <v>0.0</v>
      </c>
      <c r="O15" s="33">
        <v>0.0</v>
      </c>
      <c r="P15" s="33">
        <v>0.0</v>
      </c>
      <c r="Q15" s="33">
        <v>0.0</v>
      </c>
      <c r="R15" s="33">
        <v>0.0</v>
      </c>
      <c r="S15" s="33">
        <v>0.0</v>
      </c>
      <c r="T15" s="33">
        <v>6.0</v>
      </c>
      <c r="U15" s="33">
        <v>310.0</v>
      </c>
      <c r="V15" s="35">
        <f t="shared" ref="V15:W15" si="15">Q15+T15</f>
        <v>6</v>
      </c>
      <c r="W15" s="35">
        <f t="shared" si="15"/>
        <v>310</v>
      </c>
      <c r="X15" s="36">
        <f t="shared" si="3"/>
        <v>3</v>
      </c>
      <c r="Y15" s="36">
        <v>0.0</v>
      </c>
      <c r="Z15" s="36">
        <v>0.0</v>
      </c>
      <c r="AA15" s="36">
        <v>0.0</v>
      </c>
      <c r="AB15" s="36">
        <v>0.0</v>
      </c>
      <c r="AC15" s="36">
        <v>0.0</v>
      </c>
      <c r="AD15" s="36">
        <v>0.0</v>
      </c>
      <c r="AE15" s="36">
        <v>0.0</v>
      </c>
    </row>
    <row r="16">
      <c r="A16" s="33">
        <v>28.0</v>
      </c>
      <c r="B16" s="34">
        <v>11.0</v>
      </c>
      <c r="C16" s="33">
        <v>0.0</v>
      </c>
      <c r="D16" s="33">
        <v>0.0</v>
      </c>
      <c r="E16" s="33">
        <v>0.0</v>
      </c>
      <c r="F16" s="33">
        <v>0.0</v>
      </c>
      <c r="G16" s="33">
        <v>1.0</v>
      </c>
      <c r="H16" s="33">
        <v>5.0</v>
      </c>
      <c r="I16" s="33"/>
      <c r="J16" s="33">
        <v>42.0</v>
      </c>
      <c r="K16" s="33">
        <v>0.0</v>
      </c>
      <c r="L16" s="33">
        <v>0.0</v>
      </c>
      <c r="M16" s="33">
        <v>0.0</v>
      </c>
      <c r="N16" s="33">
        <v>0.0</v>
      </c>
      <c r="O16" s="33">
        <v>0.0</v>
      </c>
      <c r="P16" s="33">
        <v>1.0</v>
      </c>
      <c r="Q16" s="33">
        <v>0.0</v>
      </c>
      <c r="R16" s="33">
        <v>0.0</v>
      </c>
      <c r="S16" s="33">
        <v>0.0</v>
      </c>
      <c r="T16" s="33">
        <v>0.0</v>
      </c>
      <c r="U16" s="33">
        <v>0.0</v>
      </c>
      <c r="V16" s="35">
        <f t="shared" ref="V16:W16" si="16">Q16+T16</f>
        <v>0</v>
      </c>
      <c r="W16" s="35">
        <f t="shared" si="16"/>
        <v>0</v>
      </c>
      <c r="X16" s="36">
        <f t="shared" si="3"/>
        <v>6</v>
      </c>
      <c r="Y16" s="36">
        <v>0.0</v>
      </c>
      <c r="Z16" s="36">
        <v>0.0</v>
      </c>
      <c r="AA16" s="36">
        <v>0.0</v>
      </c>
      <c r="AB16" s="36">
        <v>0.0</v>
      </c>
      <c r="AC16" s="36">
        <v>0.0</v>
      </c>
      <c r="AD16" s="36">
        <v>0.0</v>
      </c>
      <c r="AE16" s="36">
        <v>0.0</v>
      </c>
    </row>
    <row r="17">
      <c r="A17" s="33">
        <v>29.0</v>
      </c>
      <c r="B17" s="34">
        <v>11.0</v>
      </c>
      <c r="C17" s="33">
        <v>0.0</v>
      </c>
      <c r="D17" s="33">
        <v>0.0</v>
      </c>
      <c r="E17" s="33">
        <v>0.0</v>
      </c>
      <c r="F17" s="33">
        <v>0.0</v>
      </c>
      <c r="G17" s="33">
        <v>1.0</v>
      </c>
      <c r="H17" s="33">
        <v>6.0</v>
      </c>
      <c r="I17" s="33"/>
      <c r="J17" s="33">
        <v>42.0</v>
      </c>
      <c r="K17" s="33">
        <v>0.0</v>
      </c>
      <c r="L17" s="33">
        <v>0.0</v>
      </c>
      <c r="M17" s="33">
        <v>0.0</v>
      </c>
      <c r="N17" s="33">
        <v>0.0</v>
      </c>
      <c r="O17" s="33">
        <v>0.0</v>
      </c>
      <c r="P17" s="33">
        <v>0.0</v>
      </c>
      <c r="Q17" s="33">
        <v>1.0</v>
      </c>
      <c r="R17" s="33">
        <v>455.0</v>
      </c>
      <c r="S17" s="33">
        <v>0.0</v>
      </c>
      <c r="T17" s="33">
        <v>2.0</v>
      </c>
      <c r="U17" s="33">
        <v>51.0</v>
      </c>
      <c r="V17" s="35">
        <f t="shared" ref="V17:W17" si="17">Q17+T17</f>
        <v>3</v>
      </c>
      <c r="W17" s="35">
        <f t="shared" si="17"/>
        <v>506</v>
      </c>
      <c r="X17" s="36">
        <f t="shared" si="3"/>
        <v>7</v>
      </c>
      <c r="Y17" s="36">
        <v>0.0</v>
      </c>
      <c r="Z17" s="36">
        <v>0.0</v>
      </c>
      <c r="AA17" s="36">
        <v>0.0</v>
      </c>
      <c r="AB17" s="36">
        <v>0.0</v>
      </c>
      <c r="AC17" s="36">
        <v>0.0</v>
      </c>
      <c r="AD17" s="36">
        <v>0.0</v>
      </c>
      <c r="AE17" s="36">
        <v>0.0</v>
      </c>
    </row>
    <row r="18">
      <c r="A18" s="33">
        <v>30.0</v>
      </c>
      <c r="B18" s="34">
        <v>11.0</v>
      </c>
      <c r="C18" s="33">
        <v>0.0</v>
      </c>
      <c r="D18" s="33">
        <v>0.0</v>
      </c>
      <c r="E18" s="33">
        <v>0.0</v>
      </c>
      <c r="F18" s="33">
        <v>0.0</v>
      </c>
      <c r="G18" s="33">
        <v>0.0</v>
      </c>
      <c r="H18" s="33">
        <v>0.0</v>
      </c>
      <c r="I18" s="33"/>
      <c r="J18" s="33">
        <v>0.0</v>
      </c>
      <c r="K18" s="33">
        <v>0.0</v>
      </c>
      <c r="L18" s="33">
        <v>0.0</v>
      </c>
      <c r="M18" s="33">
        <v>0.0</v>
      </c>
      <c r="N18" s="33">
        <v>0.0</v>
      </c>
      <c r="O18" s="33">
        <v>0.0</v>
      </c>
      <c r="P18" s="33">
        <v>0.0</v>
      </c>
      <c r="Q18" s="33">
        <v>1.0</v>
      </c>
      <c r="R18" s="33">
        <v>120.0</v>
      </c>
      <c r="S18" s="33">
        <v>0.0</v>
      </c>
      <c r="T18" s="33">
        <v>2.0</v>
      </c>
      <c r="U18" s="33">
        <v>61.0</v>
      </c>
      <c r="V18" s="35">
        <f t="shared" ref="V18:W18" si="18">Q18+T18</f>
        <v>3</v>
      </c>
      <c r="W18" s="35">
        <f t="shared" si="18"/>
        <v>181</v>
      </c>
      <c r="X18" s="36">
        <f t="shared" si="3"/>
        <v>0</v>
      </c>
      <c r="Y18" s="36">
        <v>0.0</v>
      </c>
      <c r="Z18" s="36">
        <v>1.0</v>
      </c>
      <c r="AA18" s="36">
        <v>1.0</v>
      </c>
      <c r="AB18" s="36">
        <v>0.0</v>
      </c>
      <c r="AC18" s="36">
        <v>0.0</v>
      </c>
      <c r="AD18" s="36">
        <v>0.0</v>
      </c>
      <c r="AE18" s="36">
        <v>0.0</v>
      </c>
    </row>
    <row r="19">
      <c r="A19" s="33">
        <v>1.0</v>
      </c>
      <c r="B19" s="39">
        <v>12.0</v>
      </c>
      <c r="C19" s="33">
        <v>0.0</v>
      </c>
      <c r="D19" s="33">
        <v>0.0</v>
      </c>
      <c r="E19" s="33">
        <v>0.0</v>
      </c>
      <c r="F19" s="33">
        <v>0.0</v>
      </c>
      <c r="G19" s="33">
        <v>0.0</v>
      </c>
      <c r="H19" s="33">
        <v>0.0</v>
      </c>
      <c r="I19" s="33"/>
      <c r="J19" s="33">
        <v>0.0</v>
      </c>
      <c r="K19" s="33">
        <v>0.0</v>
      </c>
      <c r="L19" s="33">
        <v>0.0</v>
      </c>
      <c r="M19" s="33">
        <v>0.0</v>
      </c>
      <c r="N19" s="33">
        <v>0.0</v>
      </c>
      <c r="O19" s="33">
        <v>0.0</v>
      </c>
      <c r="P19" s="33">
        <v>0.0</v>
      </c>
      <c r="Q19" s="33">
        <v>0.0</v>
      </c>
      <c r="R19" s="33">
        <v>0.0</v>
      </c>
      <c r="S19" s="33">
        <v>0.0</v>
      </c>
      <c r="T19" s="33">
        <v>0.0</v>
      </c>
      <c r="U19" s="33">
        <v>0.0</v>
      </c>
      <c r="V19" s="35">
        <f t="shared" ref="V19:W19" si="19">Q19+T19</f>
        <v>0</v>
      </c>
      <c r="W19" s="35">
        <f t="shared" si="19"/>
        <v>0</v>
      </c>
      <c r="X19" s="36">
        <f t="shared" si="3"/>
        <v>0</v>
      </c>
      <c r="Y19" s="36">
        <v>0.0</v>
      </c>
      <c r="Z19" s="36">
        <v>0.0</v>
      </c>
      <c r="AA19" s="36">
        <v>0.0</v>
      </c>
      <c r="AB19" s="36">
        <v>0.0</v>
      </c>
      <c r="AC19" s="36">
        <v>0.0</v>
      </c>
      <c r="AD19" s="36">
        <v>0.0</v>
      </c>
      <c r="AE19" s="36">
        <v>0.0</v>
      </c>
    </row>
    <row r="20">
      <c r="A20" s="33">
        <v>2.0</v>
      </c>
      <c r="B20" s="39">
        <v>12.0</v>
      </c>
      <c r="C20" s="33">
        <v>0.0</v>
      </c>
      <c r="D20" s="33">
        <v>0.0</v>
      </c>
      <c r="E20" s="33">
        <v>0.0</v>
      </c>
      <c r="F20" s="33">
        <v>0.0</v>
      </c>
      <c r="G20" s="33">
        <v>0.0</v>
      </c>
      <c r="H20" s="33">
        <v>0.0</v>
      </c>
      <c r="I20" s="33"/>
      <c r="J20" s="33">
        <v>0.0</v>
      </c>
      <c r="K20" s="33">
        <v>0.0</v>
      </c>
      <c r="L20" s="33">
        <v>0.0</v>
      </c>
      <c r="M20" s="33">
        <v>0.0</v>
      </c>
      <c r="N20" s="33">
        <v>0.0</v>
      </c>
      <c r="O20" s="33">
        <v>0.0</v>
      </c>
      <c r="P20" s="33">
        <v>0.0</v>
      </c>
      <c r="Q20" s="33">
        <v>0.0</v>
      </c>
      <c r="R20" s="33">
        <v>0.0</v>
      </c>
      <c r="S20" s="33">
        <v>0.0</v>
      </c>
      <c r="T20" s="33">
        <v>1.0</v>
      </c>
      <c r="U20" s="33">
        <v>90.0</v>
      </c>
      <c r="V20" s="35">
        <f t="shared" ref="V20:W20" si="20">Q20+T20</f>
        <v>1</v>
      </c>
      <c r="W20" s="35">
        <f t="shared" si="20"/>
        <v>90</v>
      </c>
      <c r="X20" s="36">
        <f t="shared" si="3"/>
        <v>0</v>
      </c>
      <c r="Y20" s="36">
        <v>0.0</v>
      </c>
      <c r="Z20" s="36">
        <v>1.0</v>
      </c>
      <c r="AA20" s="36">
        <v>1.0</v>
      </c>
      <c r="AB20" s="36">
        <v>0.0</v>
      </c>
      <c r="AC20" s="36">
        <v>0.0</v>
      </c>
      <c r="AD20" s="36">
        <v>0.0</v>
      </c>
      <c r="AE20" s="36">
        <v>0.0</v>
      </c>
    </row>
    <row r="21">
      <c r="A21" s="33">
        <v>3.0</v>
      </c>
      <c r="B21" s="39">
        <v>12.0</v>
      </c>
      <c r="C21" s="33">
        <v>0.0</v>
      </c>
      <c r="D21" s="33">
        <v>0.0</v>
      </c>
      <c r="E21" s="33">
        <v>0.0</v>
      </c>
      <c r="F21" s="33">
        <v>0.0</v>
      </c>
      <c r="G21" s="33">
        <v>1.0</v>
      </c>
      <c r="H21" s="33">
        <v>6.0</v>
      </c>
      <c r="I21" s="33"/>
      <c r="J21" s="33">
        <v>50.0</v>
      </c>
      <c r="K21" s="33">
        <v>0.0</v>
      </c>
      <c r="L21" s="33">
        <v>0.0</v>
      </c>
      <c r="M21" s="33">
        <v>0.0</v>
      </c>
      <c r="N21" s="33">
        <v>0.0</v>
      </c>
      <c r="O21" s="33">
        <v>0.0</v>
      </c>
      <c r="P21" s="33">
        <v>0.0</v>
      </c>
      <c r="Q21" s="33">
        <v>0.0</v>
      </c>
      <c r="R21" s="33">
        <v>0.0</v>
      </c>
      <c r="S21" s="33">
        <v>0.0</v>
      </c>
      <c r="T21" s="33">
        <v>0.0</v>
      </c>
      <c r="U21" s="33">
        <v>0.0</v>
      </c>
      <c r="V21" s="35">
        <f t="shared" ref="V21:W21" si="21">Q21+T21</f>
        <v>0</v>
      </c>
      <c r="W21" s="35">
        <f t="shared" si="21"/>
        <v>0</v>
      </c>
      <c r="X21" s="36">
        <f t="shared" si="3"/>
        <v>7</v>
      </c>
      <c r="Y21" s="36">
        <v>0.0</v>
      </c>
      <c r="Z21" s="36">
        <v>0.0</v>
      </c>
      <c r="AA21" s="36">
        <v>0.0</v>
      </c>
      <c r="AB21" s="36">
        <v>0.0</v>
      </c>
      <c r="AC21" s="36">
        <v>0.0</v>
      </c>
      <c r="AD21" s="36">
        <v>0.0</v>
      </c>
      <c r="AE21" s="36">
        <v>0.0</v>
      </c>
    </row>
    <row r="22">
      <c r="A22" s="33">
        <v>4.0</v>
      </c>
      <c r="B22" s="39">
        <v>12.0</v>
      </c>
      <c r="C22" s="33">
        <v>0.0</v>
      </c>
      <c r="D22" s="33">
        <v>0.0</v>
      </c>
      <c r="E22" s="33">
        <v>1.0</v>
      </c>
      <c r="F22" s="33">
        <v>0.0</v>
      </c>
      <c r="G22" s="33">
        <v>2.0</v>
      </c>
      <c r="H22" s="33">
        <v>8.0</v>
      </c>
      <c r="I22" s="33"/>
      <c r="J22" s="33">
        <v>48.0</v>
      </c>
      <c r="K22" s="33">
        <v>0.0</v>
      </c>
      <c r="L22" s="33">
        <v>0.0</v>
      </c>
      <c r="M22" s="33">
        <v>0.0</v>
      </c>
      <c r="N22" s="33">
        <v>0.0</v>
      </c>
      <c r="O22" s="33">
        <v>0.0</v>
      </c>
      <c r="P22" s="33">
        <v>0.0</v>
      </c>
      <c r="Q22" s="33">
        <v>0.0</v>
      </c>
      <c r="R22" s="33">
        <v>0.0</v>
      </c>
      <c r="S22" s="33">
        <v>0.0</v>
      </c>
      <c r="T22" s="33">
        <v>1.0</v>
      </c>
      <c r="U22" s="33">
        <v>92.0</v>
      </c>
      <c r="V22" s="35">
        <f t="shared" ref="V22:W22" si="22">Q22+T22</f>
        <v>1</v>
      </c>
      <c r="W22" s="35">
        <f t="shared" si="22"/>
        <v>92</v>
      </c>
      <c r="X22" s="36">
        <f t="shared" si="3"/>
        <v>10</v>
      </c>
      <c r="Y22" s="36">
        <v>0.0</v>
      </c>
      <c r="Z22" s="36">
        <v>0.0</v>
      </c>
      <c r="AA22" s="36">
        <v>0.0</v>
      </c>
      <c r="AB22" s="36">
        <v>0.0</v>
      </c>
      <c r="AC22" s="36">
        <v>0.0</v>
      </c>
      <c r="AD22" s="36">
        <v>0.0</v>
      </c>
      <c r="AE22" s="36">
        <v>0.0</v>
      </c>
    </row>
    <row r="23">
      <c r="A23" s="33">
        <v>5.0</v>
      </c>
      <c r="B23" s="39">
        <v>12.0</v>
      </c>
      <c r="C23" s="33">
        <v>0.0</v>
      </c>
      <c r="D23" s="33">
        <v>0.0</v>
      </c>
      <c r="E23" s="33">
        <v>0.0</v>
      </c>
      <c r="F23" s="33">
        <v>0.0</v>
      </c>
      <c r="G23" s="33">
        <v>2.0</v>
      </c>
      <c r="H23" s="33">
        <v>7.0</v>
      </c>
      <c r="I23" s="33"/>
      <c r="J23" s="33">
        <v>56.0</v>
      </c>
      <c r="K23" s="33">
        <v>0.0</v>
      </c>
      <c r="L23" s="33">
        <v>0.0</v>
      </c>
      <c r="M23" s="33">
        <v>0.0</v>
      </c>
      <c r="N23" s="33">
        <v>0.0</v>
      </c>
      <c r="O23" s="33">
        <v>0.0</v>
      </c>
      <c r="P23" s="33">
        <v>0.0</v>
      </c>
      <c r="Q23" s="33">
        <v>0.0</v>
      </c>
      <c r="R23" s="33">
        <v>0.0</v>
      </c>
      <c r="S23" s="33">
        <v>0.0</v>
      </c>
      <c r="T23" s="33">
        <v>0.0</v>
      </c>
      <c r="U23" s="33">
        <v>0.0</v>
      </c>
      <c r="V23" s="35">
        <f t="shared" ref="V23:W23" si="23">Q23+T23</f>
        <v>0</v>
      </c>
      <c r="W23" s="35">
        <f t="shared" si="23"/>
        <v>0</v>
      </c>
      <c r="X23" s="36">
        <f t="shared" si="3"/>
        <v>9</v>
      </c>
      <c r="Y23" s="36">
        <v>0.0</v>
      </c>
      <c r="Z23" s="36">
        <v>0.0</v>
      </c>
      <c r="AA23" s="36">
        <v>0.0</v>
      </c>
      <c r="AB23" s="36">
        <v>0.0</v>
      </c>
      <c r="AC23" s="36">
        <v>0.0</v>
      </c>
      <c r="AD23" s="36">
        <v>0.0</v>
      </c>
      <c r="AE23" s="36">
        <v>0.0</v>
      </c>
    </row>
    <row r="24">
      <c r="A24" s="33">
        <v>6.0</v>
      </c>
      <c r="B24" s="39">
        <v>12.0</v>
      </c>
      <c r="C24" s="33">
        <v>0.0</v>
      </c>
      <c r="D24" s="33">
        <v>0.0</v>
      </c>
      <c r="E24" s="33">
        <v>0.0</v>
      </c>
      <c r="F24" s="33">
        <v>0.0</v>
      </c>
      <c r="G24" s="33">
        <v>2.0</v>
      </c>
      <c r="H24" s="33">
        <v>2.0</v>
      </c>
      <c r="I24" s="33"/>
      <c r="J24" s="33">
        <v>27.0</v>
      </c>
      <c r="K24" s="33">
        <v>0.0</v>
      </c>
      <c r="L24" s="33">
        <v>0.0</v>
      </c>
      <c r="M24" s="33">
        <v>0.0</v>
      </c>
      <c r="N24" s="33">
        <v>0.0</v>
      </c>
      <c r="O24" s="33">
        <v>0.0</v>
      </c>
      <c r="P24" s="33">
        <v>0.0</v>
      </c>
      <c r="Q24" s="33">
        <v>0.0</v>
      </c>
      <c r="R24" s="33">
        <v>0.0</v>
      </c>
      <c r="S24" s="33">
        <v>0.0</v>
      </c>
      <c r="T24" s="33">
        <v>1.0</v>
      </c>
      <c r="U24" s="33">
        <v>60.0</v>
      </c>
      <c r="V24" s="35">
        <f t="shared" ref="V24:W24" si="24">Q24+T24</f>
        <v>1</v>
      </c>
      <c r="W24" s="35">
        <f t="shared" si="24"/>
        <v>60</v>
      </c>
      <c r="X24" s="36">
        <f t="shared" si="3"/>
        <v>4</v>
      </c>
      <c r="Y24" s="36">
        <v>0.0</v>
      </c>
      <c r="Z24" s="36">
        <v>0.0</v>
      </c>
      <c r="AA24" s="36">
        <v>0.0</v>
      </c>
      <c r="AB24" s="36">
        <v>0.0</v>
      </c>
      <c r="AC24" s="36">
        <v>0.0</v>
      </c>
      <c r="AD24" s="36">
        <v>0.0</v>
      </c>
      <c r="AE24" s="36">
        <v>0.0</v>
      </c>
    </row>
    <row r="25">
      <c r="A25" s="33">
        <v>7.0</v>
      </c>
      <c r="B25" s="39">
        <v>12.0</v>
      </c>
      <c r="C25" s="33">
        <v>0.0</v>
      </c>
      <c r="D25" s="33">
        <v>0.0</v>
      </c>
      <c r="E25" s="33">
        <v>0.0</v>
      </c>
      <c r="F25" s="33">
        <v>0.0</v>
      </c>
      <c r="G25" s="33">
        <v>0.0</v>
      </c>
      <c r="H25" s="33">
        <v>0.0</v>
      </c>
      <c r="I25" s="33"/>
      <c r="J25" s="33">
        <v>0.0</v>
      </c>
      <c r="K25" s="33">
        <v>0.0</v>
      </c>
      <c r="L25" s="33">
        <v>0.0</v>
      </c>
      <c r="M25" s="33">
        <v>0.0</v>
      </c>
      <c r="N25" s="33">
        <v>0.0</v>
      </c>
      <c r="O25" s="33">
        <v>0.0</v>
      </c>
      <c r="P25" s="33">
        <v>0.0</v>
      </c>
      <c r="Q25" s="33">
        <v>0.0</v>
      </c>
      <c r="R25" s="33">
        <v>0.0</v>
      </c>
      <c r="S25" s="33">
        <v>0.0</v>
      </c>
      <c r="T25" s="33">
        <v>3.0</v>
      </c>
      <c r="U25" s="33">
        <v>256.0</v>
      </c>
      <c r="V25" s="35">
        <f t="shared" ref="V25:W25" si="25">Q25+T25</f>
        <v>3</v>
      </c>
      <c r="W25" s="35">
        <f t="shared" si="25"/>
        <v>256</v>
      </c>
      <c r="X25" s="36">
        <f t="shared" si="3"/>
        <v>0</v>
      </c>
      <c r="Y25" s="36">
        <v>0.0</v>
      </c>
      <c r="Z25" s="36">
        <v>0.0</v>
      </c>
      <c r="AA25" s="36">
        <v>0.0</v>
      </c>
      <c r="AB25" s="36">
        <v>0.0</v>
      </c>
      <c r="AC25" s="36">
        <v>0.0</v>
      </c>
      <c r="AD25" s="36">
        <v>0.0</v>
      </c>
      <c r="AE25" s="36">
        <v>0.0</v>
      </c>
    </row>
    <row r="26">
      <c r="A26" s="33">
        <v>8.0</v>
      </c>
      <c r="B26" s="39">
        <v>12.0</v>
      </c>
      <c r="C26" s="33">
        <v>0.0</v>
      </c>
      <c r="D26" s="33">
        <v>0.0</v>
      </c>
      <c r="E26" s="33">
        <v>0.0</v>
      </c>
      <c r="F26" s="33">
        <v>0.0</v>
      </c>
      <c r="G26" s="33">
        <v>0.0</v>
      </c>
      <c r="H26" s="33">
        <v>0.0</v>
      </c>
      <c r="I26" s="33"/>
      <c r="J26" s="33">
        <v>0.0</v>
      </c>
      <c r="K26" s="33">
        <v>0.0</v>
      </c>
      <c r="L26" s="33">
        <v>0.0</v>
      </c>
      <c r="M26" s="33">
        <v>0.0</v>
      </c>
      <c r="N26" s="33">
        <v>0.0</v>
      </c>
      <c r="O26" s="33">
        <v>0.0</v>
      </c>
      <c r="P26" s="33">
        <v>0.0</v>
      </c>
      <c r="Q26" s="33">
        <v>0.0</v>
      </c>
      <c r="R26" s="33">
        <v>0.0</v>
      </c>
      <c r="S26" s="33">
        <v>0.0</v>
      </c>
      <c r="T26" s="33">
        <v>0.0</v>
      </c>
      <c r="U26" s="33">
        <v>0.0</v>
      </c>
      <c r="V26" s="35">
        <f t="shared" ref="V26:W26" si="26">Q26+T26</f>
        <v>0</v>
      </c>
      <c r="W26" s="35">
        <f t="shared" si="26"/>
        <v>0</v>
      </c>
      <c r="X26" s="36">
        <f t="shared" si="3"/>
        <v>0</v>
      </c>
      <c r="Y26" s="36">
        <v>0.0</v>
      </c>
      <c r="Z26" s="36">
        <v>0.0</v>
      </c>
      <c r="AA26" s="36">
        <v>0.0</v>
      </c>
      <c r="AB26" s="36">
        <v>0.0</v>
      </c>
      <c r="AC26" s="36">
        <v>0.0</v>
      </c>
      <c r="AD26" s="36">
        <v>0.0</v>
      </c>
      <c r="AE26" s="36">
        <v>0.0</v>
      </c>
    </row>
    <row r="27">
      <c r="A27" s="33">
        <v>9.0</v>
      </c>
      <c r="B27" s="39">
        <v>12.0</v>
      </c>
      <c r="C27" s="33">
        <v>0.0</v>
      </c>
      <c r="D27" s="33">
        <v>1.0</v>
      </c>
      <c r="E27" s="33">
        <v>0.0</v>
      </c>
      <c r="F27" s="33">
        <v>0.0</v>
      </c>
      <c r="G27" s="33">
        <v>0.0</v>
      </c>
      <c r="H27" s="33">
        <v>0.0</v>
      </c>
      <c r="I27" s="33"/>
      <c r="J27" s="33">
        <v>0.0</v>
      </c>
      <c r="K27" s="33">
        <v>0.0</v>
      </c>
      <c r="L27" s="33">
        <v>0.0</v>
      </c>
      <c r="M27" s="33">
        <v>0.0</v>
      </c>
      <c r="N27" s="33">
        <v>0.0</v>
      </c>
      <c r="O27" s="33">
        <v>0.0</v>
      </c>
      <c r="P27" s="33">
        <v>0.0</v>
      </c>
      <c r="Q27" s="33">
        <v>0.0</v>
      </c>
      <c r="R27" s="33">
        <v>0.0</v>
      </c>
      <c r="S27" s="33">
        <v>0.0</v>
      </c>
      <c r="T27" s="33">
        <v>1.0</v>
      </c>
      <c r="U27" s="33">
        <v>25.0</v>
      </c>
      <c r="V27" s="35">
        <f t="shared" ref="V27:W27" si="27">Q27+T27</f>
        <v>1</v>
      </c>
      <c r="W27" s="35">
        <f t="shared" si="27"/>
        <v>25</v>
      </c>
      <c r="X27" s="36">
        <f t="shared" si="3"/>
        <v>0</v>
      </c>
      <c r="Y27" s="36">
        <v>0.0</v>
      </c>
      <c r="Z27" s="36">
        <v>0.0</v>
      </c>
      <c r="AA27" s="36">
        <v>0.0</v>
      </c>
      <c r="AB27" s="36">
        <v>0.0</v>
      </c>
      <c r="AC27" s="36">
        <v>0.0</v>
      </c>
      <c r="AD27" s="36">
        <v>0.0</v>
      </c>
      <c r="AE27" s="36">
        <v>0.0</v>
      </c>
    </row>
    <row r="28">
      <c r="A28" s="33">
        <v>10.0</v>
      </c>
      <c r="B28" s="39">
        <v>12.0</v>
      </c>
      <c r="C28" s="33">
        <v>0.0</v>
      </c>
      <c r="D28" s="33">
        <v>1.0</v>
      </c>
      <c r="E28" s="33">
        <v>0.0</v>
      </c>
      <c r="F28" s="33">
        <v>0.0</v>
      </c>
      <c r="G28" s="33">
        <v>4.0</v>
      </c>
      <c r="H28" s="33">
        <v>8.0</v>
      </c>
      <c r="I28" s="33">
        <v>1.0</v>
      </c>
      <c r="J28" s="33">
        <v>87.0</v>
      </c>
      <c r="K28" s="33">
        <v>1.0</v>
      </c>
      <c r="L28" s="33">
        <v>1.0</v>
      </c>
      <c r="M28" s="33">
        <v>50.0</v>
      </c>
      <c r="N28" s="33">
        <v>0.0</v>
      </c>
      <c r="O28" s="33">
        <v>0.0</v>
      </c>
      <c r="P28" s="33">
        <v>0.0</v>
      </c>
      <c r="Q28" s="33">
        <v>0.0</v>
      </c>
      <c r="R28" s="33">
        <v>0.0</v>
      </c>
      <c r="S28" s="33">
        <v>0.0</v>
      </c>
      <c r="T28" s="33">
        <v>1.0</v>
      </c>
      <c r="U28" s="33">
        <v>25.0</v>
      </c>
      <c r="V28" s="35">
        <f t="shared" ref="V28:W28" si="28">Q28+T28</f>
        <v>1</v>
      </c>
      <c r="W28" s="35">
        <f t="shared" si="28"/>
        <v>25</v>
      </c>
      <c r="X28" s="36">
        <f t="shared" si="3"/>
        <v>12</v>
      </c>
      <c r="Y28" s="36">
        <v>0.0</v>
      </c>
      <c r="Z28" s="36">
        <v>1.0</v>
      </c>
      <c r="AA28" s="36">
        <v>1.0</v>
      </c>
      <c r="AB28" s="36">
        <v>0.0</v>
      </c>
      <c r="AC28" s="36">
        <v>0.0</v>
      </c>
      <c r="AD28" s="36">
        <v>0.0</v>
      </c>
      <c r="AE28" s="36">
        <v>0.0</v>
      </c>
    </row>
    <row r="29">
      <c r="A29" s="33">
        <v>11.0</v>
      </c>
      <c r="B29" s="39">
        <v>12.0</v>
      </c>
      <c r="C29" s="33">
        <v>0.0</v>
      </c>
      <c r="D29" s="33">
        <v>0.0</v>
      </c>
      <c r="E29" s="33">
        <v>0.0</v>
      </c>
      <c r="F29" s="33">
        <v>0.0</v>
      </c>
      <c r="G29" s="33">
        <v>10.0</v>
      </c>
      <c r="H29" s="33">
        <v>9.0</v>
      </c>
      <c r="I29" s="33">
        <v>0.0</v>
      </c>
      <c r="J29" s="33">
        <v>146.0</v>
      </c>
      <c r="K29" s="33">
        <v>0.0</v>
      </c>
      <c r="L29" s="33">
        <v>0.0</v>
      </c>
      <c r="M29" s="33">
        <v>0.0</v>
      </c>
      <c r="N29" s="33">
        <v>0.0</v>
      </c>
      <c r="O29" s="33">
        <v>0.0</v>
      </c>
      <c r="P29" s="33">
        <v>0.0</v>
      </c>
      <c r="Q29" s="33">
        <v>1.0</v>
      </c>
      <c r="R29" s="33">
        <v>200.0</v>
      </c>
      <c r="S29" s="33">
        <v>200.0</v>
      </c>
      <c r="T29" s="33">
        <v>3.0</v>
      </c>
      <c r="U29" s="33">
        <v>247.0</v>
      </c>
      <c r="V29" s="35">
        <f t="shared" ref="V29:W29" si="29">Q29+T29</f>
        <v>4</v>
      </c>
      <c r="W29" s="35">
        <f t="shared" si="29"/>
        <v>447</v>
      </c>
      <c r="X29" s="36">
        <f t="shared" si="3"/>
        <v>19</v>
      </c>
      <c r="Y29" s="36">
        <v>0.0</v>
      </c>
      <c r="Z29" s="36">
        <v>1.0</v>
      </c>
      <c r="AA29" s="36">
        <v>1.0</v>
      </c>
      <c r="AB29" s="36">
        <v>0.0</v>
      </c>
      <c r="AC29" s="36">
        <v>0.0</v>
      </c>
      <c r="AD29" s="36">
        <v>0.0</v>
      </c>
      <c r="AE29" s="36">
        <v>0.0</v>
      </c>
    </row>
    <row r="30">
      <c r="A30" s="36">
        <v>12.0</v>
      </c>
      <c r="B30" s="39">
        <v>12.0</v>
      </c>
      <c r="C30" s="33">
        <v>0.0</v>
      </c>
      <c r="D30" s="33">
        <v>0.0</v>
      </c>
      <c r="E30" s="33">
        <v>0.0</v>
      </c>
      <c r="F30" s="33">
        <v>0.0</v>
      </c>
      <c r="G30" s="33">
        <v>4.0</v>
      </c>
      <c r="H30" s="33">
        <v>6.0</v>
      </c>
      <c r="I30" s="33">
        <v>0.0</v>
      </c>
      <c r="J30" s="33">
        <v>45.0</v>
      </c>
      <c r="K30" s="33">
        <v>2.0</v>
      </c>
      <c r="L30" s="33">
        <v>1.0</v>
      </c>
      <c r="M30" s="33">
        <v>84.0</v>
      </c>
      <c r="N30" s="33">
        <v>0.0</v>
      </c>
      <c r="O30" s="33">
        <v>0.0</v>
      </c>
      <c r="P30" s="33">
        <v>0.0</v>
      </c>
      <c r="Q30" s="33">
        <v>0.0</v>
      </c>
      <c r="R30" s="33">
        <v>0.0</v>
      </c>
      <c r="S30" s="33">
        <v>0.0</v>
      </c>
      <c r="T30" s="33">
        <v>0.0</v>
      </c>
      <c r="U30" s="33">
        <v>0.0</v>
      </c>
      <c r="V30" s="35">
        <f t="shared" ref="V30:W30" si="30">Q30+T30</f>
        <v>0</v>
      </c>
      <c r="W30" s="35">
        <f t="shared" si="30"/>
        <v>0</v>
      </c>
      <c r="X30" s="36">
        <f t="shared" si="3"/>
        <v>10</v>
      </c>
      <c r="Y30" s="36">
        <v>0.0</v>
      </c>
      <c r="Z30" s="36">
        <v>0.0</v>
      </c>
      <c r="AA30" s="36">
        <v>0.0</v>
      </c>
      <c r="AB30" s="36">
        <v>0.0</v>
      </c>
      <c r="AC30" s="36">
        <v>0.0</v>
      </c>
      <c r="AD30" s="36">
        <v>0.0</v>
      </c>
      <c r="AE30" s="36">
        <v>0.0</v>
      </c>
    </row>
    <row r="31">
      <c r="A31" s="33">
        <v>13.0</v>
      </c>
      <c r="B31" s="39">
        <v>12.0</v>
      </c>
      <c r="C31" s="33">
        <v>0.0</v>
      </c>
      <c r="D31" s="33">
        <v>0.0</v>
      </c>
      <c r="E31" s="33">
        <v>0.0</v>
      </c>
      <c r="F31" s="33">
        <v>1.0</v>
      </c>
      <c r="G31" s="33">
        <v>2.0</v>
      </c>
      <c r="H31" s="33">
        <v>5.0</v>
      </c>
      <c r="I31" s="33">
        <v>0.0</v>
      </c>
      <c r="J31" s="33">
        <v>49.0</v>
      </c>
      <c r="K31" s="33">
        <v>0.0</v>
      </c>
      <c r="L31" s="33">
        <v>0.0</v>
      </c>
      <c r="M31" s="33">
        <v>0.0</v>
      </c>
      <c r="N31" s="33">
        <v>0.0</v>
      </c>
      <c r="O31" s="33">
        <v>0.0</v>
      </c>
      <c r="P31" s="33">
        <v>0.0</v>
      </c>
      <c r="Q31" s="33">
        <v>0.0</v>
      </c>
      <c r="R31" s="33">
        <v>0.0</v>
      </c>
      <c r="S31" s="33">
        <v>0.0</v>
      </c>
      <c r="T31" s="33">
        <v>6.0</v>
      </c>
      <c r="U31" s="33">
        <v>178.0</v>
      </c>
      <c r="V31" s="35">
        <f t="shared" ref="V31:W31" si="31">Q31+T31</f>
        <v>6</v>
      </c>
      <c r="W31" s="35">
        <f t="shared" si="31"/>
        <v>178</v>
      </c>
      <c r="X31" s="36">
        <v>7.0</v>
      </c>
      <c r="Y31" s="36">
        <v>0.0</v>
      </c>
      <c r="Z31" s="36">
        <v>0.0</v>
      </c>
      <c r="AA31" s="36">
        <v>0.0</v>
      </c>
      <c r="AB31" s="36">
        <v>0.0</v>
      </c>
      <c r="AC31" s="36">
        <v>0.0</v>
      </c>
      <c r="AD31" s="36">
        <v>0.0</v>
      </c>
      <c r="AE31" s="36">
        <v>0.0</v>
      </c>
    </row>
    <row r="32">
      <c r="A32" s="33">
        <v>14.0</v>
      </c>
      <c r="B32" s="39">
        <v>12.0</v>
      </c>
      <c r="C32" s="33">
        <v>0.0</v>
      </c>
      <c r="D32" s="33">
        <v>0.0</v>
      </c>
      <c r="E32" s="33">
        <v>0.0</v>
      </c>
      <c r="F32" s="33">
        <v>0.0</v>
      </c>
      <c r="G32" s="33">
        <v>0.0</v>
      </c>
      <c r="H32" s="33">
        <v>0.0</v>
      </c>
      <c r="I32" s="33">
        <v>0.0</v>
      </c>
      <c r="J32" s="33">
        <v>0.0</v>
      </c>
      <c r="K32" s="33">
        <v>0.0</v>
      </c>
      <c r="L32" s="33">
        <v>0.0</v>
      </c>
      <c r="M32" s="33">
        <v>0.0</v>
      </c>
      <c r="N32" s="33">
        <v>0.0</v>
      </c>
      <c r="O32" s="33">
        <v>0.0</v>
      </c>
      <c r="P32" s="33">
        <v>0.0</v>
      </c>
      <c r="Q32" s="33">
        <v>0.0</v>
      </c>
      <c r="R32" s="33">
        <v>0.0</v>
      </c>
      <c r="S32" s="33">
        <v>0.0</v>
      </c>
      <c r="T32" s="33">
        <v>2.0</v>
      </c>
      <c r="U32" s="33">
        <v>173.0</v>
      </c>
      <c r="V32" s="35">
        <f t="shared" ref="V32:W32" si="32">Q32+T32</f>
        <v>2</v>
      </c>
      <c r="W32" s="35">
        <f t="shared" si="32"/>
        <v>173</v>
      </c>
      <c r="X32" s="36">
        <v>0.0</v>
      </c>
      <c r="Y32" s="36">
        <v>0.0</v>
      </c>
      <c r="Z32" s="36">
        <v>0.0</v>
      </c>
      <c r="AA32" s="36">
        <v>0.0</v>
      </c>
      <c r="AB32" s="36">
        <v>0.0</v>
      </c>
      <c r="AC32" s="36">
        <v>0.0</v>
      </c>
      <c r="AD32" s="36">
        <v>0.0</v>
      </c>
      <c r="AE32" s="36">
        <v>0.0</v>
      </c>
    </row>
    <row r="33">
      <c r="A33" s="40">
        <v>15.0</v>
      </c>
      <c r="B33" s="40">
        <v>12.0</v>
      </c>
      <c r="C33" s="40">
        <v>0.0</v>
      </c>
      <c r="D33" s="40">
        <v>0.0</v>
      </c>
      <c r="E33" s="40">
        <v>0.0</v>
      </c>
      <c r="F33" s="40">
        <v>0.0</v>
      </c>
      <c r="G33" s="40">
        <v>0.0</v>
      </c>
      <c r="H33" s="40">
        <v>0.0</v>
      </c>
      <c r="I33" s="40">
        <v>0.0</v>
      </c>
      <c r="J33" s="40">
        <v>0.0</v>
      </c>
      <c r="K33" s="40">
        <v>0.0</v>
      </c>
      <c r="L33" s="40">
        <v>0.0</v>
      </c>
      <c r="M33" s="40">
        <v>0.0</v>
      </c>
      <c r="N33" s="40">
        <v>0.0</v>
      </c>
      <c r="O33" s="40">
        <v>0.0</v>
      </c>
      <c r="P33" s="40">
        <v>0.0</v>
      </c>
      <c r="Q33" s="40">
        <v>1.0</v>
      </c>
      <c r="R33" s="40">
        <v>1900.0</v>
      </c>
      <c r="S33" s="40">
        <v>0.0</v>
      </c>
      <c r="T33" s="40">
        <v>3.0</v>
      </c>
      <c r="U33" s="40">
        <v>166.0</v>
      </c>
      <c r="V33" s="35">
        <f t="shared" ref="V33:W33" si="33">Q33+T33</f>
        <v>4</v>
      </c>
      <c r="W33" s="35">
        <f t="shared" si="33"/>
        <v>2066</v>
      </c>
      <c r="X33" s="41">
        <v>0.0</v>
      </c>
      <c r="Y33" s="41">
        <v>0.0</v>
      </c>
      <c r="Z33" s="41">
        <v>1.0</v>
      </c>
      <c r="AA33" s="41">
        <v>1.0</v>
      </c>
      <c r="AB33" s="41">
        <v>0.0</v>
      </c>
      <c r="AC33" s="41">
        <v>0.0</v>
      </c>
      <c r="AD33" s="41">
        <v>0.0</v>
      </c>
      <c r="AE33" s="41">
        <v>0.0</v>
      </c>
    </row>
    <row r="34">
      <c r="A34" s="33">
        <v>16.0</v>
      </c>
      <c r="B34" s="39">
        <v>12.0</v>
      </c>
      <c r="C34" s="33">
        <v>0.0</v>
      </c>
      <c r="D34" s="33">
        <v>0.0</v>
      </c>
      <c r="E34" s="33">
        <v>0.0</v>
      </c>
      <c r="F34" s="33">
        <v>0.0</v>
      </c>
      <c r="G34" s="33">
        <v>0.0</v>
      </c>
      <c r="H34" s="33">
        <v>0.0</v>
      </c>
      <c r="I34" s="33">
        <v>0.0</v>
      </c>
      <c r="J34" s="33">
        <v>0.0</v>
      </c>
      <c r="K34" s="33">
        <v>0.0</v>
      </c>
      <c r="L34" s="33">
        <v>0.0</v>
      </c>
      <c r="M34" s="33">
        <v>0.0</v>
      </c>
      <c r="N34" s="33">
        <v>0.0</v>
      </c>
      <c r="O34" s="33">
        <v>0.0</v>
      </c>
      <c r="P34" s="33">
        <v>0.0</v>
      </c>
      <c r="Q34" s="33">
        <v>0.0</v>
      </c>
      <c r="R34" s="33">
        <v>0.0</v>
      </c>
      <c r="S34" s="33">
        <v>0.0</v>
      </c>
      <c r="T34" s="33">
        <v>2.0</v>
      </c>
      <c r="U34" s="33">
        <v>60.0</v>
      </c>
      <c r="V34" s="35">
        <f t="shared" ref="V34:W34" si="34">Q34+T34</f>
        <v>2</v>
      </c>
      <c r="W34" s="35">
        <f t="shared" si="34"/>
        <v>60</v>
      </c>
      <c r="X34" s="36">
        <v>0.0</v>
      </c>
      <c r="Y34" s="36">
        <v>0.0</v>
      </c>
      <c r="Z34" s="36">
        <v>1.0</v>
      </c>
      <c r="AA34" s="36">
        <v>1.0</v>
      </c>
      <c r="AB34" s="36">
        <v>0.0</v>
      </c>
      <c r="AC34" s="36">
        <v>0.0</v>
      </c>
      <c r="AD34" s="36">
        <v>0.0</v>
      </c>
      <c r="AE34" s="36">
        <v>0.0</v>
      </c>
    </row>
    <row r="35">
      <c r="A35" s="33">
        <v>17.0</v>
      </c>
      <c r="B35" s="39">
        <v>12.0</v>
      </c>
      <c r="C35" s="33">
        <v>0.0</v>
      </c>
      <c r="D35" s="33">
        <v>1.0</v>
      </c>
      <c r="E35" s="33">
        <v>0.0</v>
      </c>
      <c r="F35" s="33">
        <v>0.0</v>
      </c>
      <c r="G35" s="33">
        <v>4.0</v>
      </c>
      <c r="H35" s="33">
        <v>3.0</v>
      </c>
      <c r="I35" s="33">
        <v>0.0</v>
      </c>
      <c r="J35" s="33">
        <v>49.0</v>
      </c>
      <c r="K35" s="33">
        <v>1.0</v>
      </c>
      <c r="L35" s="33">
        <v>1.0</v>
      </c>
      <c r="M35" s="33">
        <v>4.0</v>
      </c>
      <c r="N35" s="33">
        <v>0.0</v>
      </c>
      <c r="O35" s="33">
        <v>0.0</v>
      </c>
      <c r="P35" s="33">
        <v>0.0</v>
      </c>
      <c r="Q35" s="33">
        <v>0.0</v>
      </c>
      <c r="R35" s="33">
        <v>0.0</v>
      </c>
      <c r="S35" s="33">
        <v>0.0</v>
      </c>
      <c r="T35" s="33">
        <v>2.0</v>
      </c>
      <c r="U35" s="33">
        <v>86.0</v>
      </c>
      <c r="V35" s="35">
        <f t="shared" ref="V35:W35" si="35">Q35+T35</f>
        <v>2</v>
      </c>
      <c r="W35" s="35">
        <f t="shared" si="35"/>
        <v>86</v>
      </c>
      <c r="X35" s="36">
        <v>0.0</v>
      </c>
      <c r="Y35" s="36">
        <v>0.0</v>
      </c>
      <c r="Z35" s="36">
        <v>1.0</v>
      </c>
      <c r="AA35" s="36">
        <v>1.0</v>
      </c>
      <c r="AB35" s="36">
        <v>0.0</v>
      </c>
      <c r="AC35" s="36">
        <v>0.0</v>
      </c>
      <c r="AD35" s="36">
        <v>0.0</v>
      </c>
      <c r="AE35" s="36">
        <v>0.0</v>
      </c>
    </row>
    <row r="36">
      <c r="A36" s="33">
        <v>18.0</v>
      </c>
      <c r="B36" s="39">
        <v>12.0</v>
      </c>
      <c r="C36" s="33">
        <v>0.0</v>
      </c>
      <c r="D36" s="33">
        <v>0.0</v>
      </c>
      <c r="E36" s="33">
        <v>0.0</v>
      </c>
      <c r="F36" s="33">
        <v>0.0</v>
      </c>
      <c r="G36" s="33">
        <v>4.0</v>
      </c>
      <c r="H36" s="33">
        <v>1.0</v>
      </c>
      <c r="I36" s="33">
        <v>0.0</v>
      </c>
      <c r="J36" s="33">
        <v>61.0</v>
      </c>
      <c r="K36" s="33">
        <v>0.0</v>
      </c>
      <c r="L36" s="33">
        <v>0.0</v>
      </c>
      <c r="M36" s="33">
        <v>0.0</v>
      </c>
      <c r="N36" s="33">
        <v>0.0</v>
      </c>
      <c r="O36" s="33">
        <v>0.0</v>
      </c>
      <c r="P36" s="33">
        <v>0.0</v>
      </c>
      <c r="Q36" s="33">
        <v>0.0</v>
      </c>
      <c r="R36" s="33">
        <v>0.0</v>
      </c>
      <c r="S36" s="33">
        <v>0.0</v>
      </c>
      <c r="T36" s="33">
        <v>2.0</v>
      </c>
      <c r="U36" s="33">
        <v>106.0</v>
      </c>
      <c r="V36" s="35">
        <f t="shared" ref="V36:W36" si="36">Q36+T36</f>
        <v>2</v>
      </c>
      <c r="W36" s="35">
        <f t="shared" si="36"/>
        <v>106</v>
      </c>
      <c r="X36" s="36">
        <v>0.0</v>
      </c>
      <c r="Y36" s="36">
        <v>0.0</v>
      </c>
      <c r="Z36" s="36">
        <v>1.0</v>
      </c>
      <c r="AA36" s="36">
        <v>1.0</v>
      </c>
      <c r="AB36" s="36">
        <v>0.0</v>
      </c>
      <c r="AC36" s="36">
        <v>0.0</v>
      </c>
      <c r="AD36" s="36">
        <v>0.0</v>
      </c>
      <c r="AE36" s="36">
        <v>0.0</v>
      </c>
    </row>
    <row r="37">
      <c r="A37" s="33">
        <v>19.0</v>
      </c>
      <c r="B37" s="39">
        <v>12.0</v>
      </c>
      <c r="C37" s="33">
        <v>0.0</v>
      </c>
      <c r="D37" s="33">
        <v>2.0</v>
      </c>
      <c r="E37" s="33">
        <v>0.0</v>
      </c>
      <c r="F37" s="33">
        <v>0.0</v>
      </c>
      <c r="G37" s="33">
        <v>2.0</v>
      </c>
      <c r="H37" s="33">
        <v>1.0</v>
      </c>
      <c r="I37" s="33">
        <v>0.0</v>
      </c>
      <c r="J37" s="33">
        <v>0.0</v>
      </c>
      <c r="K37" s="33">
        <v>0.0</v>
      </c>
      <c r="L37" s="33">
        <v>0.0</v>
      </c>
      <c r="M37" s="33">
        <v>0.0</v>
      </c>
      <c r="N37" s="33">
        <v>0.0</v>
      </c>
      <c r="O37" s="33">
        <v>0.0</v>
      </c>
      <c r="P37" s="33">
        <v>0.0</v>
      </c>
      <c r="Q37" s="33">
        <v>0.0</v>
      </c>
      <c r="R37" s="33">
        <v>0.0</v>
      </c>
      <c r="S37" s="33">
        <v>0.0</v>
      </c>
      <c r="T37" s="33">
        <v>4.0</v>
      </c>
      <c r="U37" s="33">
        <v>150.0</v>
      </c>
      <c r="V37" s="35">
        <f t="shared" ref="V37:W37" si="37">Q37+T37</f>
        <v>4</v>
      </c>
      <c r="W37" s="35">
        <f t="shared" si="37"/>
        <v>150</v>
      </c>
      <c r="X37" s="36">
        <f t="shared" ref="X37:X43" si="39">sum(G37:H37)</f>
        <v>3</v>
      </c>
      <c r="Y37" s="36">
        <f t="shared" ref="Y37:Y43" si="40">sum(G37:H37)</f>
        <v>3</v>
      </c>
      <c r="Z37" s="36">
        <v>2.0</v>
      </c>
      <c r="AA37" s="36">
        <v>2.0</v>
      </c>
      <c r="AB37" s="36">
        <v>0.0</v>
      </c>
      <c r="AC37" s="36">
        <v>0.0</v>
      </c>
      <c r="AD37" s="36">
        <v>0.0</v>
      </c>
      <c r="AE37" s="36">
        <v>0.0</v>
      </c>
    </row>
    <row r="38">
      <c r="A38" s="33">
        <v>20.0</v>
      </c>
      <c r="B38" s="39">
        <v>12.0</v>
      </c>
      <c r="C38" s="33">
        <v>0.0</v>
      </c>
      <c r="D38" s="33">
        <v>0.0</v>
      </c>
      <c r="E38" s="33">
        <v>0.0</v>
      </c>
      <c r="F38" s="33">
        <v>0.0</v>
      </c>
      <c r="G38" s="33">
        <v>2.0</v>
      </c>
      <c r="H38" s="33">
        <v>4.0</v>
      </c>
      <c r="I38" s="33">
        <v>0.0</v>
      </c>
      <c r="J38" s="33">
        <v>41.0</v>
      </c>
      <c r="K38" s="33">
        <v>0.0</v>
      </c>
      <c r="L38" s="33">
        <v>0.0</v>
      </c>
      <c r="M38" s="33">
        <v>0.0</v>
      </c>
      <c r="N38" s="33">
        <v>0.0</v>
      </c>
      <c r="O38" s="33">
        <v>0.0</v>
      </c>
      <c r="P38" s="33">
        <v>0.0</v>
      </c>
      <c r="Q38" s="33">
        <v>0.0</v>
      </c>
      <c r="R38" s="33">
        <v>0.0</v>
      </c>
      <c r="S38" s="33">
        <v>0.0</v>
      </c>
      <c r="T38" s="33">
        <v>5.0</v>
      </c>
      <c r="U38" s="33">
        <v>136.0</v>
      </c>
      <c r="V38" s="35">
        <f t="shared" ref="V38:W38" si="38">Q38+T38</f>
        <v>5</v>
      </c>
      <c r="W38" s="35">
        <f t="shared" si="38"/>
        <v>136</v>
      </c>
      <c r="X38" s="36">
        <f t="shared" si="39"/>
        <v>6</v>
      </c>
      <c r="Y38" s="36">
        <f t="shared" si="40"/>
        <v>6</v>
      </c>
      <c r="Z38" s="36">
        <v>1.0</v>
      </c>
      <c r="AA38" s="36">
        <v>1.0</v>
      </c>
      <c r="AB38" s="36">
        <v>0.0</v>
      </c>
      <c r="AC38" s="36">
        <v>0.0</v>
      </c>
      <c r="AD38" s="36">
        <v>0.0</v>
      </c>
      <c r="AE38" s="36">
        <v>0.0</v>
      </c>
    </row>
    <row r="39">
      <c r="A39" s="33">
        <v>21.0</v>
      </c>
      <c r="B39" s="39">
        <v>12.0</v>
      </c>
      <c r="C39" s="33">
        <v>0.0</v>
      </c>
      <c r="D39" s="33">
        <v>1.0</v>
      </c>
      <c r="E39" s="33">
        <v>0.0</v>
      </c>
      <c r="F39" s="33">
        <v>0.0</v>
      </c>
      <c r="G39" s="33">
        <v>0.0</v>
      </c>
      <c r="H39" s="33">
        <v>0.0</v>
      </c>
      <c r="I39" s="33">
        <v>0.0</v>
      </c>
      <c r="J39" s="33">
        <v>0.0</v>
      </c>
      <c r="K39" s="33">
        <v>0.0</v>
      </c>
      <c r="L39" s="33">
        <v>0.0</v>
      </c>
      <c r="M39" s="33">
        <v>0.0</v>
      </c>
      <c r="N39" s="33">
        <v>0.0</v>
      </c>
      <c r="O39" s="33">
        <v>0.0</v>
      </c>
      <c r="P39" s="33">
        <v>0.0</v>
      </c>
      <c r="Q39" s="33">
        <v>0.0</v>
      </c>
      <c r="R39" s="33">
        <v>0.0</v>
      </c>
      <c r="S39" s="33">
        <v>0.0</v>
      </c>
      <c r="T39" s="33">
        <v>9.0</v>
      </c>
      <c r="U39" s="33">
        <v>449.0</v>
      </c>
      <c r="V39" s="35">
        <f t="shared" ref="V39:W39" si="41">Q39+T39</f>
        <v>9</v>
      </c>
      <c r="W39" s="35">
        <f t="shared" si="41"/>
        <v>449</v>
      </c>
      <c r="X39" s="36">
        <f t="shared" si="39"/>
        <v>0</v>
      </c>
      <c r="Y39" s="36">
        <f t="shared" si="40"/>
        <v>0</v>
      </c>
      <c r="Z39" s="36">
        <v>1.0</v>
      </c>
      <c r="AA39" s="36">
        <v>1.0</v>
      </c>
      <c r="AB39" s="36">
        <v>0.0</v>
      </c>
      <c r="AC39" s="36">
        <v>0.0</v>
      </c>
      <c r="AD39" s="36">
        <v>0.0</v>
      </c>
      <c r="AE39" s="36">
        <v>0.0</v>
      </c>
    </row>
    <row r="40">
      <c r="A40" s="33">
        <v>22.0</v>
      </c>
      <c r="B40" s="39">
        <v>12.0</v>
      </c>
      <c r="C40" s="33">
        <v>0.0</v>
      </c>
      <c r="D40" s="33">
        <v>0.0</v>
      </c>
      <c r="E40" s="33">
        <v>0.0</v>
      </c>
      <c r="F40" s="33">
        <v>0.0</v>
      </c>
      <c r="G40" s="33">
        <v>0.0</v>
      </c>
      <c r="H40" s="33">
        <v>0.0</v>
      </c>
      <c r="I40" s="33">
        <v>0.0</v>
      </c>
      <c r="J40" s="33">
        <v>0.0</v>
      </c>
      <c r="K40" s="33">
        <v>0.0</v>
      </c>
      <c r="L40" s="33">
        <v>0.0</v>
      </c>
      <c r="M40" s="33">
        <v>0.0</v>
      </c>
      <c r="N40" s="33">
        <v>0.0</v>
      </c>
      <c r="O40" s="33">
        <v>0.0</v>
      </c>
      <c r="P40" s="33">
        <v>0.0</v>
      </c>
      <c r="Q40" s="33">
        <v>2.0</v>
      </c>
      <c r="R40" s="33">
        <v>400.0</v>
      </c>
      <c r="S40" s="33">
        <v>100.0</v>
      </c>
      <c r="T40" s="33">
        <v>0.0</v>
      </c>
      <c r="U40" s="33">
        <v>0.0</v>
      </c>
      <c r="V40" s="35">
        <f t="shared" ref="V40:W40" si="42">Q40+T40</f>
        <v>2</v>
      </c>
      <c r="W40" s="35">
        <f t="shared" si="42"/>
        <v>400</v>
      </c>
      <c r="X40" s="36">
        <f t="shared" si="39"/>
        <v>0</v>
      </c>
      <c r="Y40" s="36">
        <f t="shared" si="40"/>
        <v>0</v>
      </c>
      <c r="Z40" s="36">
        <v>1.0</v>
      </c>
      <c r="AA40" s="36">
        <v>1.0</v>
      </c>
      <c r="AB40" s="36">
        <v>0.0</v>
      </c>
      <c r="AC40" s="36">
        <v>0.0</v>
      </c>
      <c r="AD40" s="36">
        <v>0.0</v>
      </c>
      <c r="AE40" s="36">
        <v>0.0</v>
      </c>
    </row>
    <row r="41">
      <c r="A41" s="33">
        <v>23.0</v>
      </c>
      <c r="B41" s="39">
        <v>12.0</v>
      </c>
      <c r="C41" s="33">
        <v>0.0</v>
      </c>
      <c r="D41" s="33">
        <v>0.0</v>
      </c>
      <c r="E41" s="33">
        <v>1.0</v>
      </c>
      <c r="F41" s="33">
        <v>0.0</v>
      </c>
      <c r="G41" s="33">
        <v>0.0</v>
      </c>
      <c r="H41" s="33">
        <v>0.0</v>
      </c>
      <c r="I41" s="33">
        <v>0.0</v>
      </c>
      <c r="J41" s="33">
        <v>0.0</v>
      </c>
      <c r="K41" s="33">
        <v>0.0</v>
      </c>
      <c r="L41" s="33">
        <v>0.0</v>
      </c>
      <c r="M41" s="33">
        <v>0.0</v>
      </c>
      <c r="N41" s="33">
        <v>0.0</v>
      </c>
      <c r="O41" s="33">
        <v>0.0</v>
      </c>
      <c r="P41" s="33">
        <v>1.0</v>
      </c>
      <c r="Q41" s="33">
        <v>0.0</v>
      </c>
      <c r="R41" s="33">
        <v>0.0</v>
      </c>
      <c r="S41" s="33">
        <v>0.0</v>
      </c>
      <c r="T41" s="33">
        <v>5.0</v>
      </c>
      <c r="U41" s="33">
        <v>244.0</v>
      </c>
      <c r="V41" s="35">
        <f t="shared" ref="V41:W41" si="43">Q41+T41</f>
        <v>5</v>
      </c>
      <c r="W41" s="35">
        <f t="shared" si="43"/>
        <v>244</v>
      </c>
      <c r="X41" s="36">
        <f t="shared" si="39"/>
        <v>0</v>
      </c>
      <c r="Y41" s="36">
        <f t="shared" si="40"/>
        <v>0</v>
      </c>
      <c r="Z41" s="36">
        <v>1.0</v>
      </c>
      <c r="AA41" s="36">
        <v>1.0</v>
      </c>
      <c r="AB41" s="36">
        <v>0.0</v>
      </c>
      <c r="AC41" s="36">
        <v>0.0</v>
      </c>
      <c r="AD41" s="36">
        <v>0.0</v>
      </c>
      <c r="AE41" s="36">
        <v>0.0</v>
      </c>
    </row>
    <row r="42">
      <c r="A42" s="33">
        <v>24.0</v>
      </c>
      <c r="B42" s="39">
        <v>12.0</v>
      </c>
      <c r="C42" s="33">
        <v>0.0</v>
      </c>
      <c r="D42" s="33">
        <v>1.0</v>
      </c>
      <c r="E42" s="33">
        <v>0.0</v>
      </c>
      <c r="F42" s="33">
        <v>0.0</v>
      </c>
      <c r="G42" s="33">
        <v>0.0</v>
      </c>
      <c r="H42" s="33">
        <v>0.0</v>
      </c>
      <c r="I42" s="33">
        <v>0.0</v>
      </c>
      <c r="J42" s="33">
        <v>0.0</v>
      </c>
      <c r="K42" s="33">
        <v>0.0</v>
      </c>
      <c r="L42" s="33">
        <v>0.0</v>
      </c>
      <c r="M42" s="33">
        <v>0.0</v>
      </c>
      <c r="N42" s="33">
        <v>0.0</v>
      </c>
      <c r="O42" s="33">
        <v>0.0</v>
      </c>
      <c r="P42" s="33">
        <v>0.0</v>
      </c>
      <c r="Q42" s="33">
        <v>0.0</v>
      </c>
      <c r="R42" s="33">
        <v>0.0</v>
      </c>
      <c r="S42" s="33">
        <v>0.0</v>
      </c>
      <c r="T42" s="33">
        <v>5.0</v>
      </c>
      <c r="U42" s="33">
        <v>210.0</v>
      </c>
      <c r="V42" s="35">
        <f t="shared" ref="V42:W42" si="44">Q42+T42</f>
        <v>5</v>
      </c>
      <c r="W42" s="35">
        <f t="shared" si="44"/>
        <v>210</v>
      </c>
      <c r="X42" s="36">
        <f t="shared" si="39"/>
        <v>0</v>
      </c>
      <c r="Y42" s="36">
        <f t="shared" si="40"/>
        <v>0</v>
      </c>
      <c r="Z42" s="36">
        <v>1.0</v>
      </c>
      <c r="AA42" s="36">
        <v>1.0</v>
      </c>
      <c r="AB42" s="36">
        <v>0.0</v>
      </c>
      <c r="AC42" s="36">
        <v>0.0</v>
      </c>
      <c r="AD42" s="36">
        <v>0.0</v>
      </c>
      <c r="AE42" s="36">
        <v>0.0</v>
      </c>
    </row>
    <row r="43">
      <c r="A43" s="33">
        <v>25.0</v>
      </c>
      <c r="B43" s="39">
        <v>12.0</v>
      </c>
      <c r="C43" s="33">
        <v>0.0</v>
      </c>
      <c r="D43" s="33">
        <v>0.0</v>
      </c>
      <c r="E43" s="33">
        <v>0.0</v>
      </c>
      <c r="F43" s="33">
        <v>1.0</v>
      </c>
      <c r="G43" s="33">
        <v>0.0</v>
      </c>
      <c r="H43" s="33">
        <v>0.0</v>
      </c>
      <c r="I43" s="33">
        <v>0.0</v>
      </c>
      <c r="J43" s="33">
        <v>0.0</v>
      </c>
      <c r="K43" s="33">
        <v>0.0</v>
      </c>
      <c r="L43" s="33">
        <v>0.0</v>
      </c>
      <c r="M43" s="33">
        <v>0.0</v>
      </c>
      <c r="N43" s="33">
        <v>0.0</v>
      </c>
      <c r="O43" s="33">
        <v>0.0</v>
      </c>
      <c r="P43" s="33">
        <v>0.0</v>
      </c>
      <c r="Q43" s="33">
        <v>0.0</v>
      </c>
      <c r="R43" s="33">
        <v>0.0</v>
      </c>
      <c r="S43" s="33">
        <v>0.0</v>
      </c>
      <c r="T43" s="33">
        <v>3.0</v>
      </c>
      <c r="U43" s="33">
        <v>312.0</v>
      </c>
      <c r="V43" s="35">
        <f t="shared" ref="V43:W43" si="45">Q43+T43</f>
        <v>3</v>
      </c>
      <c r="W43" s="35">
        <f t="shared" si="45"/>
        <v>312</v>
      </c>
      <c r="X43" s="36">
        <f t="shared" si="39"/>
        <v>0</v>
      </c>
      <c r="Y43" s="36">
        <f t="shared" si="40"/>
        <v>0</v>
      </c>
      <c r="Z43" s="36">
        <v>1.0</v>
      </c>
      <c r="AA43" s="36">
        <v>1.0</v>
      </c>
      <c r="AB43" s="36">
        <v>0.0</v>
      </c>
      <c r="AC43" s="36">
        <v>0.0</v>
      </c>
      <c r="AD43" s="36">
        <v>0.0</v>
      </c>
      <c r="AE43" s="36">
        <v>0.0</v>
      </c>
    </row>
    <row r="44" ht="17.25" customHeight="1">
      <c r="A44" s="33">
        <v>26.0</v>
      </c>
      <c r="B44" s="39">
        <v>12.0</v>
      </c>
      <c r="C44" s="33">
        <v>0.0</v>
      </c>
      <c r="D44" s="33">
        <v>0.0</v>
      </c>
      <c r="E44" s="33">
        <v>0.0</v>
      </c>
      <c r="F44" s="33">
        <v>0.0</v>
      </c>
      <c r="G44" s="33">
        <v>2.0</v>
      </c>
      <c r="H44" s="33">
        <v>0.0</v>
      </c>
      <c r="I44" s="33">
        <v>0.0</v>
      </c>
      <c r="J44" s="33">
        <v>18.0</v>
      </c>
      <c r="K44" s="33">
        <v>0.0</v>
      </c>
      <c r="L44" s="33">
        <v>0.0</v>
      </c>
      <c r="M44" s="33">
        <v>0.0</v>
      </c>
      <c r="N44" s="33">
        <v>0.0</v>
      </c>
      <c r="O44" s="33">
        <v>0.0</v>
      </c>
      <c r="P44" s="33">
        <v>0.0</v>
      </c>
      <c r="Q44" s="33">
        <v>0.0</v>
      </c>
      <c r="R44" s="33">
        <v>0.0</v>
      </c>
      <c r="S44" s="33">
        <v>0.0</v>
      </c>
      <c r="T44" s="33">
        <v>3.0</v>
      </c>
      <c r="U44" s="33">
        <v>134.0</v>
      </c>
      <c r="V44" s="35">
        <f t="shared" ref="V44:W44" si="46">Q44+T44</f>
        <v>3</v>
      </c>
      <c r="W44" s="35">
        <f t="shared" si="46"/>
        <v>134</v>
      </c>
      <c r="X44" s="36">
        <v>0.0</v>
      </c>
      <c r="Y44" s="36">
        <v>0.0</v>
      </c>
      <c r="Z44" s="36">
        <v>0.0</v>
      </c>
      <c r="AA44" s="36">
        <v>0.0</v>
      </c>
      <c r="AB44" s="36">
        <v>0.0</v>
      </c>
      <c r="AC44" s="36">
        <v>0.0</v>
      </c>
      <c r="AD44" s="36">
        <v>0.0</v>
      </c>
      <c r="AE44" s="36">
        <v>0.0</v>
      </c>
    </row>
    <row r="45">
      <c r="A45" s="33">
        <v>27.0</v>
      </c>
      <c r="B45" s="39">
        <v>12.0</v>
      </c>
      <c r="C45" s="33">
        <v>0.0</v>
      </c>
      <c r="D45" s="33">
        <v>0.0</v>
      </c>
      <c r="E45" s="33">
        <v>0.0</v>
      </c>
      <c r="F45" s="33">
        <v>0.0</v>
      </c>
      <c r="G45" s="33">
        <v>4.0</v>
      </c>
      <c r="H45" s="33">
        <v>0.0</v>
      </c>
      <c r="I45" s="33">
        <v>0.0</v>
      </c>
      <c r="J45" s="33">
        <v>0.0</v>
      </c>
      <c r="K45" s="33">
        <v>0.0</v>
      </c>
      <c r="L45" s="33">
        <v>0.0</v>
      </c>
      <c r="M45" s="33">
        <v>0.0</v>
      </c>
      <c r="N45" s="33">
        <v>0.0</v>
      </c>
      <c r="O45" s="33">
        <v>0.0</v>
      </c>
      <c r="P45" s="33">
        <v>2.0</v>
      </c>
      <c r="Q45" s="33">
        <v>3.0</v>
      </c>
      <c r="R45" s="33">
        <v>1135.0</v>
      </c>
      <c r="S45" s="33">
        <v>0.0</v>
      </c>
      <c r="T45" s="33">
        <v>7.0</v>
      </c>
      <c r="U45" s="33">
        <v>166.0</v>
      </c>
      <c r="V45" s="35">
        <f t="shared" ref="V45:W45" si="47">Q45+T45</f>
        <v>10</v>
      </c>
      <c r="W45" s="35">
        <f t="shared" si="47"/>
        <v>1301</v>
      </c>
      <c r="X45" s="36">
        <v>0.0</v>
      </c>
      <c r="Y45" s="36">
        <v>0.0</v>
      </c>
      <c r="Z45" s="36">
        <v>1.0</v>
      </c>
      <c r="AA45" s="36">
        <v>1.0</v>
      </c>
      <c r="AB45" s="36">
        <v>0.0</v>
      </c>
      <c r="AC45" s="36">
        <v>0.0</v>
      </c>
      <c r="AD45" s="36">
        <v>0.0</v>
      </c>
      <c r="AE45" s="36">
        <v>0.0</v>
      </c>
    </row>
    <row r="46">
      <c r="A46" s="42">
        <v>28.0</v>
      </c>
      <c r="B46" s="42">
        <v>12.0</v>
      </c>
      <c r="C46" s="42">
        <v>0.0</v>
      </c>
      <c r="D46" s="42">
        <v>0.0</v>
      </c>
      <c r="E46" s="42">
        <v>0.0</v>
      </c>
      <c r="F46" s="42">
        <v>0.0</v>
      </c>
      <c r="G46" s="42">
        <v>6.0</v>
      </c>
      <c r="H46" s="42">
        <v>5.0</v>
      </c>
      <c r="I46" s="42">
        <v>0.0</v>
      </c>
      <c r="J46" s="42">
        <v>0.0</v>
      </c>
      <c r="K46" s="42">
        <v>0.0</v>
      </c>
      <c r="L46" s="42">
        <v>0.0</v>
      </c>
      <c r="M46" s="42">
        <v>0.0</v>
      </c>
      <c r="N46" s="42">
        <v>0.0</v>
      </c>
      <c r="O46" s="42">
        <v>0.0</v>
      </c>
      <c r="P46" s="42">
        <v>0.0</v>
      </c>
      <c r="Q46" s="42">
        <v>2.0</v>
      </c>
      <c r="R46" s="42">
        <v>160.0</v>
      </c>
      <c r="S46" s="42">
        <v>0.0</v>
      </c>
      <c r="T46" s="42">
        <v>7.0</v>
      </c>
      <c r="U46" s="42">
        <v>438.0</v>
      </c>
      <c r="V46" s="43">
        <f t="shared" ref="V46:W46" si="48">Q46+T46</f>
        <v>9</v>
      </c>
      <c r="W46" s="43">
        <f t="shared" si="48"/>
        <v>598</v>
      </c>
      <c r="X46" s="44">
        <f t="shared" ref="X46:X50" si="50">sum(G46:H46)</f>
        <v>11</v>
      </c>
      <c r="Y46" s="44">
        <f t="shared" ref="Y46:Y50" si="51">sum(G46:H46)</f>
        <v>11</v>
      </c>
      <c r="Z46" s="44">
        <v>1.0</v>
      </c>
      <c r="AA46" s="44">
        <v>1.0</v>
      </c>
      <c r="AB46" s="44">
        <v>0.0</v>
      </c>
      <c r="AC46" s="44">
        <v>0.0</v>
      </c>
      <c r="AD46" s="44">
        <v>0.0</v>
      </c>
      <c r="AE46" s="44">
        <v>0.0</v>
      </c>
    </row>
    <row r="47">
      <c r="A47" s="33">
        <v>29.0</v>
      </c>
      <c r="B47" s="39">
        <v>12.0</v>
      </c>
      <c r="C47" s="33">
        <v>0.0</v>
      </c>
      <c r="D47" s="33">
        <v>0.0</v>
      </c>
      <c r="E47" s="33">
        <v>0.0</v>
      </c>
      <c r="F47" s="33">
        <v>0.0</v>
      </c>
      <c r="G47" s="33">
        <v>0.0</v>
      </c>
      <c r="H47" s="33">
        <v>0.0</v>
      </c>
      <c r="I47" s="33">
        <v>0.0</v>
      </c>
      <c r="J47" s="33">
        <v>0.0</v>
      </c>
      <c r="K47" s="33">
        <v>0.0</v>
      </c>
      <c r="L47" s="33">
        <v>0.0</v>
      </c>
      <c r="M47" s="33">
        <v>0.0</v>
      </c>
      <c r="N47" s="33">
        <v>0.0</v>
      </c>
      <c r="O47" s="33">
        <v>0.0</v>
      </c>
      <c r="P47" s="33">
        <v>0.0</v>
      </c>
      <c r="Q47" s="33">
        <v>2.0</v>
      </c>
      <c r="R47" s="33">
        <v>458.0</v>
      </c>
      <c r="S47" s="33">
        <v>2100.0</v>
      </c>
      <c r="T47" s="33">
        <v>0.0</v>
      </c>
      <c r="U47" s="33">
        <v>0.0</v>
      </c>
      <c r="V47" s="35">
        <f t="shared" ref="V47:W47" si="49">Q47+T47</f>
        <v>2</v>
      </c>
      <c r="W47" s="35">
        <f t="shared" si="49"/>
        <v>458</v>
      </c>
      <c r="X47" s="36">
        <f t="shared" si="50"/>
        <v>0</v>
      </c>
      <c r="Y47" s="36">
        <f t="shared" si="51"/>
        <v>0</v>
      </c>
      <c r="Z47" s="36">
        <v>0.0</v>
      </c>
      <c r="AA47" s="36">
        <v>0.0</v>
      </c>
      <c r="AB47" s="36">
        <v>0.0</v>
      </c>
      <c r="AC47" s="36">
        <v>0.0</v>
      </c>
      <c r="AD47" s="36">
        <v>0.0</v>
      </c>
      <c r="AE47" s="36">
        <v>0.0</v>
      </c>
    </row>
    <row r="48">
      <c r="A48" s="33">
        <v>30.0</v>
      </c>
      <c r="B48" s="39">
        <v>12.0</v>
      </c>
      <c r="C48" s="33">
        <v>0.0</v>
      </c>
      <c r="D48" s="33">
        <v>0.0</v>
      </c>
      <c r="E48" s="33">
        <v>0.0</v>
      </c>
      <c r="F48" s="33">
        <v>0.0</v>
      </c>
      <c r="G48" s="33">
        <v>0.0</v>
      </c>
      <c r="H48" s="33">
        <v>1.0</v>
      </c>
      <c r="I48" s="33">
        <v>0.0</v>
      </c>
      <c r="J48" s="33">
        <v>6.0</v>
      </c>
      <c r="K48" s="33">
        <v>0.0</v>
      </c>
      <c r="L48" s="33">
        <v>0.0</v>
      </c>
      <c r="M48" s="33">
        <v>0.0</v>
      </c>
      <c r="N48" s="33">
        <v>0.0</v>
      </c>
      <c r="O48" s="33">
        <v>0.0</v>
      </c>
      <c r="P48" s="33">
        <v>3.0</v>
      </c>
      <c r="Q48" s="33">
        <v>3.0</v>
      </c>
      <c r="R48" s="33">
        <v>235.0</v>
      </c>
      <c r="S48" s="33">
        <v>360.0</v>
      </c>
      <c r="T48" s="33">
        <v>7.0</v>
      </c>
      <c r="U48" s="33">
        <v>231.0</v>
      </c>
      <c r="V48" s="35">
        <f t="shared" ref="V48:W48" si="52">Q48+T48</f>
        <v>10</v>
      </c>
      <c r="W48" s="35">
        <f t="shared" si="52"/>
        <v>466</v>
      </c>
      <c r="X48" s="36">
        <f t="shared" si="50"/>
        <v>1</v>
      </c>
      <c r="Y48" s="36">
        <f t="shared" si="51"/>
        <v>1</v>
      </c>
      <c r="Z48" s="36">
        <v>2.0</v>
      </c>
      <c r="AA48" s="36">
        <v>2.0</v>
      </c>
      <c r="AB48" s="36">
        <v>0.0</v>
      </c>
      <c r="AC48" s="36">
        <v>0.0</v>
      </c>
      <c r="AD48" s="36">
        <v>0.0</v>
      </c>
      <c r="AE48" s="36">
        <v>0.0</v>
      </c>
    </row>
    <row r="49">
      <c r="A49" s="33">
        <v>31.0</v>
      </c>
      <c r="B49" s="39">
        <v>12.0</v>
      </c>
      <c r="C49" s="33">
        <v>0.0</v>
      </c>
      <c r="D49" s="33">
        <v>1.0</v>
      </c>
      <c r="E49" s="33">
        <v>0.0</v>
      </c>
      <c r="F49" s="33">
        <v>0.0</v>
      </c>
      <c r="G49" s="33">
        <v>0.0</v>
      </c>
      <c r="H49" s="33">
        <v>1.0</v>
      </c>
      <c r="I49" s="33">
        <v>0.0</v>
      </c>
      <c r="J49" s="33">
        <v>7.0</v>
      </c>
      <c r="K49" s="33">
        <v>0.0</v>
      </c>
      <c r="L49" s="33">
        <v>0.0</v>
      </c>
      <c r="M49" s="33">
        <v>0.0</v>
      </c>
      <c r="N49" s="33">
        <v>0.0</v>
      </c>
      <c r="O49" s="33">
        <v>0.0</v>
      </c>
      <c r="P49" s="33">
        <v>2.0</v>
      </c>
      <c r="Q49" s="33">
        <v>5.0</v>
      </c>
      <c r="R49" s="33">
        <v>985.0</v>
      </c>
      <c r="S49" s="33">
        <v>3050.0</v>
      </c>
      <c r="T49" s="33">
        <v>7.0</v>
      </c>
      <c r="U49" s="33">
        <v>216.0</v>
      </c>
      <c r="V49" s="35">
        <f t="shared" ref="V49:W49" si="53">Q49+T49</f>
        <v>12</v>
      </c>
      <c r="W49" s="35">
        <f t="shared" si="53"/>
        <v>1201</v>
      </c>
      <c r="X49" s="36">
        <f t="shared" si="50"/>
        <v>1</v>
      </c>
      <c r="Y49" s="36">
        <f t="shared" si="51"/>
        <v>1</v>
      </c>
      <c r="Z49" s="36">
        <v>1.0</v>
      </c>
      <c r="AA49" s="36">
        <v>1.0</v>
      </c>
      <c r="AB49" s="36">
        <v>0.0</v>
      </c>
      <c r="AC49" s="36">
        <v>0.0</v>
      </c>
      <c r="AD49" s="36">
        <v>0.0</v>
      </c>
      <c r="AE49" s="36">
        <v>0.0</v>
      </c>
    </row>
    <row r="50">
      <c r="A50" s="33">
        <v>1.0</v>
      </c>
      <c r="B50" s="34" t="s">
        <v>38</v>
      </c>
      <c r="C50" s="35">
        <v>0.0</v>
      </c>
      <c r="D50" s="35">
        <v>1.0</v>
      </c>
      <c r="E50" s="35">
        <v>0.0</v>
      </c>
      <c r="F50" s="35">
        <v>0.0</v>
      </c>
      <c r="G50" s="35">
        <v>1.0</v>
      </c>
      <c r="H50" s="35">
        <v>0.0</v>
      </c>
      <c r="I50" s="35">
        <v>0.0</v>
      </c>
      <c r="J50" s="35">
        <v>3.0</v>
      </c>
      <c r="K50" s="35">
        <v>0.0</v>
      </c>
      <c r="L50" s="35">
        <v>0.0</v>
      </c>
      <c r="M50" s="35">
        <v>0.0</v>
      </c>
      <c r="N50" s="35">
        <v>0.0</v>
      </c>
      <c r="O50" s="35">
        <v>0.0</v>
      </c>
      <c r="P50" s="35">
        <v>2.0</v>
      </c>
      <c r="Q50" s="35">
        <v>1.0</v>
      </c>
      <c r="R50" s="35">
        <v>200.0</v>
      </c>
      <c r="S50" s="35">
        <v>200.0</v>
      </c>
      <c r="T50" s="35">
        <v>7.0</v>
      </c>
      <c r="U50" s="35">
        <v>418.0</v>
      </c>
      <c r="V50" s="35">
        <f t="shared" ref="V50:W50" si="54">Q50+T50</f>
        <v>8</v>
      </c>
      <c r="W50" s="35">
        <f t="shared" si="54"/>
        <v>618</v>
      </c>
      <c r="X50" s="36">
        <f t="shared" si="50"/>
        <v>1</v>
      </c>
      <c r="Y50" s="36">
        <f t="shared" si="51"/>
        <v>1</v>
      </c>
      <c r="Z50" s="45">
        <v>0.0</v>
      </c>
      <c r="AA50" s="45">
        <v>0.0</v>
      </c>
      <c r="AB50" s="45">
        <v>0.0</v>
      </c>
      <c r="AC50" s="45">
        <v>0.0</v>
      </c>
      <c r="AD50" s="45">
        <v>0.0</v>
      </c>
      <c r="AE50" s="45">
        <v>0.0</v>
      </c>
    </row>
    <row r="51">
      <c r="A51" s="33">
        <v>2.0</v>
      </c>
      <c r="B51" s="34">
        <v>1.0</v>
      </c>
      <c r="C51" s="35">
        <v>0.0</v>
      </c>
      <c r="D51" s="35">
        <v>0.0</v>
      </c>
      <c r="E51" s="35">
        <v>0.0</v>
      </c>
      <c r="F51" s="35">
        <v>0.0</v>
      </c>
      <c r="G51" s="35">
        <v>0.0</v>
      </c>
      <c r="H51" s="35">
        <v>0.0</v>
      </c>
      <c r="I51" s="35">
        <v>0.0</v>
      </c>
      <c r="J51" s="35">
        <v>0.0</v>
      </c>
      <c r="K51" s="35">
        <v>0.0</v>
      </c>
      <c r="L51" s="35">
        <v>0.0</v>
      </c>
      <c r="M51" s="35">
        <v>0.0</v>
      </c>
      <c r="N51" s="35">
        <v>0.0</v>
      </c>
      <c r="O51" s="35">
        <v>0.0</v>
      </c>
      <c r="P51" s="35">
        <v>0.0</v>
      </c>
      <c r="Q51" s="35">
        <v>0.0</v>
      </c>
      <c r="R51" s="35">
        <v>0.0</v>
      </c>
      <c r="S51" s="35">
        <v>0.0</v>
      </c>
      <c r="T51" s="35">
        <v>0.0</v>
      </c>
      <c r="U51" s="35">
        <v>0.0</v>
      </c>
      <c r="V51" s="35">
        <f t="shared" ref="V51:W51" si="55">Q51+T51</f>
        <v>0</v>
      </c>
      <c r="W51" s="35">
        <f t="shared" si="55"/>
        <v>0</v>
      </c>
      <c r="X51" s="36">
        <v>0.0</v>
      </c>
      <c r="Y51" s="36">
        <v>0.0</v>
      </c>
      <c r="Z51" s="45">
        <v>0.0</v>
      </c>
      <c r="AA51" s="45">
        <v>0.0</v>
      </c>
      <c r="AB51" s="45">
        <v>0.0</v>
      </c>
      <c r="AC51" s="45">
        <v>0.0</v>
      </c>
      <c r="AD51" s="45">
        <v>0.0</v>
      </c>
      <c r="AE51" s="45">
        <v>0.0</v>
      </c>
    </row>
    <row r="52">
      <c r="A52" s="33">
        <v>3.0</v>
      </c>
      <c r="B52" s="34">
        <v>1.0</v>
      </c>
      <c r="C52" s="35">
        <v>0.0</v>
      </c>
      <c r="D52" s="35">
        <v>0.0</v>
      </c>
      <c r="E52" s="35">
        <v>0.0</v>
      </c>
      <c r="F52" s="35">
        <v>0.0</v>
      </c>
      <c r="G52" s="35">
        <v>0.0</v>
      </c>
      <c r="H52" s="35">
        <v>0.0</v>
      </c>
      <c r="I52" s="35">
        <v>0.0</v>
      </c>
      <c r="J52" s="35">
        <v>0.0</v>
      </c>
      <c r="K52" s="35">
        <v>0.0</v>
      </c>
      <c r="L52" s="35">
        <v>0.0</v>
      </c>
      <c r="M52" s="35">
        <v>0.0</v>
      </c>
      <c r="N52" s="35">
        <v>0.0</v>
      </c>
      <c r="O52" s="35">
        <v>0.0</v>
      </c>
      <c r="P52" s="35">
        <v>0.0</v>
      </c>
      <c r="Q52" s="35">
        <v>0.0</v>
      </c>
      <c r="R52" s="35">
        <v>0.0</v>
      </c>
      <c r="S52" s="35">
        <v>0.0</v>
      </c>
      <c r="T52" s="35">
        <v>2.0</v>
      </c>
      <c r="U52" s="35">
        <v>95.0</v>
      </c>
      <c r="V52" s="35">
        <f t="shared" ref="V52:W52" si="56">Q52+T52</f>
        <v>2</v>
      </c>
      <c r="W52" s="35">
        <f t="shared" si="56"/>
        <v>95</v>
      </c>
      <c r="X52" s="36">
        <v>0.0</v>
      </c>
      <c r="Y52" s="36">
        <v>0.0</v>
      </c>
      <c r="Z52" s="45">
        <v>0.0</v>
      </c>
      <c r="AA52" s="45">
        <v>0.0</v>
      </c>
      <c r="AB52" s="45">
        <v>0.0</v>
      </c>
      <c r="AC52" s="45">
        <v>0.0</v>
      </c>
      <c r="AD52" s="45">
        <v>0.0</v>
      </c>
      <c r="AE52" s="45">
        <v>0.0</v>
      </c>
    </row>
    <row r="53">
      <c r="A53" s="33">
        <v>4.0</v>
      </c>
      <c r="B53" s="34">
        <v>1.0</v>
      </c>
      <c r="C53" s="35">
        <v>0.0</v>
      </c>
      <c r="D53" s="35">
        <v>0.0</v>
      </c>
      <c r="E53" s="35">
        <v>0.0</v>
      </c>
      <c r="F53" s="35">
        <v>0.0</v>
      </c>
      <c r="G53" s="35">
        <v>0.0</v>
      </c>
      <c r="H53" s="35">
        <v>0.0</v>
      </c>
      <c r="I53" s="35">
        <v>0.0</v>
      </c>
      <c r="J53" s="35">
        <v>0.0</v>
      </c>
      <c r="K53" s="35">
        <v>0.0</v>
      </c>
      <c r="L53" s="35">
        <v>0.0</v>
      </c>
      <c r="M53" s="35">
        <v>0.0</v>
      </c>
      <c r="N53" s="35">
        <v>0.0</v>
      </c>
      <c r="O53" s="35">
        <v>0.0</v>
      </c>
      <c r="P53" s="35">
        <v>0.0</v>
      </c>
      <c r="Q53" s="35">
        <v>0.0</v>
      </c>
      <c r="R53" s="35">
        <v>0.0</v>
      </c>
      <c r="S53" s="35">
        <v>0.0</v>
      </c>
      <c r="T53" s="35">
        <v>3.0</v>
      </c>
      <c r="U53" s="35">
        <v>65.0</v>
      </c>
      <c r="V53" s="35">
        <f t="shared" ref="V53:W53" si="57">Q53+T53</f>
        <v>3</v>
      </c>
      <c r="W53" s="35">
        <f t="shared" si="57"/>
        <v>65</v>
      </c>
      <c r="X53" s="36">
        <v>0.0</v>
      </c>
      <c r="Y53" s="36">
        <v>0.0</v>
      </c>
      <c r="Z53" s="45">
        <v>0.0</v>
      </c>
      <c r="AA53" s="45">
        <v>0.0</v>
      </c>
      <c r="AB53" s="45">
        <v>0.0</v>
      </c>
      <c r="AC53" s="45">
        <v>0.0</v>
      </c>
      <c r="AD53" s="45">
        <v>0.0</v>
      </c>
      <c r="AE53" s="45">
        <v>0.0</v>
      </c>
    </row>
    <row r="54">
      <c r="A54" s="33">
        <v>5.0</v>
      </c>
      <c r="B54" s="34">
        <v>1.0</v>
      </c>
      <c r="C54" s="35">
        <v>0.0</v>
      </c>
      <c r="D54" s="35">
        <v>2.0</v>
      </c>
      <c r="E54" s="35">
        <v>0.0</v>
      </c>
      <c r="F54" s="35">
        <v>0.0</v>
      </c>
      <c r="G54" s="35">
        <v>0.0</v>
      </c>
      <c r="H54" s="35">
        <v>0.0</v>
      </c>
      <c r="I54" s="35">
        <v>0.0</v>
      </c>
      <c r="J54" s="35">
        <v>0.0</v>
      </c>
      <c r="K54" s="35">
        <v>0.0</v>
      </c>
      <c r="L54" s="35">
        <v>0.0</v>
      </c>
      <c r="M54" s="35">
        <v>0.0</v>
      </c>
      <c r="N54" s="35">
        <v>0.0</v>
      </c>
      <c r="O54" s="35">
        <v>0.0</v>
      </c>
      <c r="P54" s="35">
        <v>0.0</v>
      </c>
      <c r="Q54" s="35">
        <v>0.0</v>
      </c>
      <c r="R54" s="35">
        <v>0.0</v>
      </c>
      <c r="S54" s="35">
        <v>0.0</v>
      </c>
      <c r="T54" s="35">
        <v>1.0</v>
      </c>
      <c r="U54" s="35">
        <v>20.0</v>
      </c>
      <c r="V54" s="35">
        <f t="shared" ref="V54:W54" si="58">Q54+T54</f>
        <v>1</v>
      </c>
      <c r="W54" s="35">
        <f t="shared" si="58"/>
        <v>20</v>
      </c>
      <c r="X54" s="36">
        <v>0.0</v>
      </c>
      <c r="Y54" s="36">
        <v>0.0</v>
      </c>
      <c r="Z54" s="45">
        <v>0.0</v>
      </c>
      <c r="AA54" s="45">
        <v>0.0</v>
      </c>
      <c r="AB54" s="45">
        <v>0.0</v>
      </c>
      <c r="AC54" s="45">
        <v>0.0</v>
      </c>
      <c r="AD54" s="45">
        <v>0.0</v>
      </c>
      <c r="AE54" s="45">
        <v>0.0</v>
      </c>
    </row>
    <row r="55">
      <c r="A55" s="33">
        <v>6.0</v>
      </c>
      <c r="B55" s="34">
        <v>1.0</v>
      </c>
      <c r="C55" s="35">
        <v>0.0</v>
      </c>
      <c r="D55" s="35">
        <v>0.0</v>
      </c>
      <c r="E55" s="35">
        <v>1.0</v>
      </c>
      <c r="F55" s="35">
        <v>0.0</v>
      </c>
      <c r="G55" s="35">
        <v>11.0</v>
      </c>
      <c r="H55" s="35">
        <v>1.0</v>
      </c>
      <c r="I55" s="35">
        <v>1.0</v>
      </c>
      <c r="J55" s="35">
        <v>93.0</v>
      </c>
      <c r="K55" s="35">
        <v>1.0</v>
      </c>
      <c r="L55" s="35">
        <v>1.0</v>
      </c>
      <c r="M55" s="35">
        <v>50.0</v>
      </c>
      <c r="N55" s="35">
        <v>0.0</v>
      </c>
      <c r="O55" s="35">
        <v>0.0</v>
      </c>
      <c r="P55" s="35">
        <v>1.0</v>
      </c>
      <c r="Q55" s="35">
        <v>0.0</v>
      </c>
      <c r="R55" s="35">
        <v>0.0</v>
      </c>
      <c r="S55" s="35">
        <v>0.0</v>
      </c>
      <c r="T55" s="35">
        <v>3.0</v>
      </c>
      <c r="U55" s="35">
        <v>105.0</v>
      </c>
      <c r="V55" s="35">
        <f t="shared" ref="V55:W55" si="59">Q55+T55</f>
        <v>3</v>
      </c>
      <c r="W55" s="35">
        <f t="shared" si="59"/>
        <v>105</v>
      </c>
      <c r="X55" s="36">
        <f t="shared" ref="X55:X62" si="61">sum(G55:H55)</f>
        <v>12</v>
      </c>
      <c r="Y55" s="36">
        <f t="shared" ref="Y55:Y62" si="62">sum(G55:H55)</f>
        <v>12</v>
      </c>
      <c r="Z55" s="45">
        <v>0.0</v>
      </c>
      <c r="AA55" s="45">
        <v>0.0</v>
      </c>
      <c r="AB55" s="45">
        <v>0.0</v>
      </c>
      <c r="AC55" s="45">
        <v>0.0</v>
      </c>
      <c r="AD55" s="45">
        <v>0.0</v>
      </c>
      <c r="AE55" s="45">
        <v>0.0</v>
      </c>
    </row>
    <row r="56">
      <c r="A56" s="33">
        <v>7.0</v>
      </c>
      <c r="B56" s="34">
        <v>1.0</v>
      </c>
      <c r="C56" s="35">
        <v>0.0</v>
      </c>
      <c r="D56" s="35">
        <v>0.0</v>
      </c>
      <c r="E56" s="35">
        <v>0.0</v>
      </c>
      <c r="F56" s="35">
        <v>0.0</v>
      </c>
      <c r="G56" s="35">
        <v>5.0</v>
      </c>
      <c r="H56" s="35">
        <v>6.0</v>
      </c>
      <c r="I56" s="35">
        <v>0.0</v>
      </c>
      <c r="J56" s="35">
        <v>79.0</v>
      </c>
      <c r="K56" s="35">
        <v>0.0</v>
      </c>
      <c r="L56" s="35">
        <v>0.0</v>
      </c>
      <c r="M56" s="35">
        <v>0.0</v>
      </c>
      <c r="N56" s="35">
        <v>0.0</v>
      </c>
      <c r="O56" s="35">
        <v>0.0</v>
      </c>
      <c r="P56" s="35">
        <v>0.0</v>
      </c>
      <c r="Q56" s="35">
        <v>2.0</v>
      </c>
      <c r="R56" s="35">
        <v>140.0</v>
      </c>
      <c r="S56" s="35">
        <v>140.0</v>
      </c>
      <c r="T56" s="35">
        <v>2.0</v>
      </c>
      <c r="U56" s="35">
        <v>50.0</v>
      </c>
      <c r="V56" s="35">
        <f t="shared" ref="V56:W56" si="60">Q56+T56</f>
        <v>4</v>
      </c>
      <c r="W56" s="35">
        <f t="shared" si="60"/>
        <v>190</v>
      </c>
      <c r="X56" s="36">
        <f t="shared" si="61"/>
        <v>11</v>
      </c>
      <c r="Y56" s="36">
        <f t="shared" si="62"/>
        <v>11</v>
      </c>
      <c r="Z56" s="35">
        <v>0.0</v>
      </c>
      <c r="AA56" s="35">
        <v>0.0</v>
      </c>
      <c r="AB56" s="35">
        <v>0.0</v>
      </c>
      <c r="AC56" s="35">
        <v>0.0</v>
      </c>
      <c r="AD56" s="35">
        <v>0.0</v>
      </c>
      <c r="AE56" s="35">
        <v>0.0</v>
      </c>
    </row>
    <row r="57">
      <c r="A57" s="33">
        <v>8.0</v>
      </c>
      <c r="B57" s="34">
        <v>1.0</v>
      </c>
      <c r="C57" s="35">
        <v>0.0</v>
      </c>
      <c r="D57" s="35">
        <v>3.0</v>
      </c>
      <c r="E57" s="35">
        <v>0.0</v>
      </c>
      <c r="F57" s="35">
        <v>0.0</v>
      </c>
      <c r="G57" s="35">
        <v>13.0</v>
      </c>
      <c r="H57" s="35">
        <v>7.0</v>
      </c>
      <c r="I57" s="35">
        <v>0.0</v>
      </c>
      <c r="J57" s="35">
        <v>138.0</v>
      </c>
      <c r="K57" s="35">
        <v>0.0</v>
      </c>
      <c r="L57" s="35">
        <v>0.0</v>
      </c>
      <c r="M57" s="35">
        <v>0.0</v>
      </c>
      <c r="N57" s="35">
        <v>0.0</v>
      </c>
      <c r="O57" s="35">
        <v>0.0</v>
      </c>
      <c r="P57" s="35">
        <v>0.0</v>
      </c>
      <c r="Q57" s="35">
        <v>0.0</v>
      </c>
      <c r="R57" s="35">
        <v>0.0</v>
      </c>
      <c r="S57" s="35">
        <v>0.0</v>
      </c>
      <c r="T57" s="35">
        <v>2.0</v>
      </c>
      <c r="U57" s="35">
        <v>50.0</v>
      </c>
      <c r="V57" s="35">
        <f t="shared" ref="V57:W57" si="63">Q57+T57</f>
        <v>2</v>
      </c>
      <c r="W57" s="35">
        <f t="shared" si="63"/>
        <v>50</v>
      </c>
      <c r="X57" s="45">
        <f t="shared" si="61"/>
        <v>20</v>
      </c>
      <c r="Y57" s="45">
        <f t="shared" si="62"/>
        <v>20</v>
      </c>
      <c r="Z57" s="35">
        <v>0.0</v>
      </c>
      <c r="AA57" s="35">
        <v>0.0</v>
      </c>
      <c r="AB57" s="35">
        <v>0.0</v>
      </c>
      <c r="AC57" s="35">
        <v>0.0</v>
      </c>
      <c r="AD57" s="35">
        <v>0.0</v>
      </c>
      <c r="AE57" s="35">
        <v>0.0</v>
      </c>
    </row>
    <row r="58">
      <c r="A58" s="33">
        <v>9.0</v>
      </c>
      <c r="B58" s="34">
        <v>1.0</v>
      </c>
      <c r="C58" s="35">
        <v>0.0</v>
      </c>
      <c r="D58" s="35">
        <v>0.0</v>
      </c>
      <c r="E58" s="35">
        <v>0.0</v>
      </c>
      <c r="F58" s="35">
        <v>1.0</v>
      </c>
      <c r="G58" s="35">
        <v>12.0</v>
      </c>
      <c r="H58" s="35">
        <v>7.0</v>
      </c>
      <c r="I58" s="35">
        <v>0.0</v>
      </c>
      <c r="J58" s="35">
        <v>150.0</v>
      </c>
      <c r="K58" s="35">
        <v>0.0</v>
      </c>
      <c r="L58" s="35">
        <v>0.0</v>
      </c>
      <c r="M58" s="35">
        <v>0.0</v>
      </c>
      <c r="N58" s="35">
        <v>0.0</v>
      </c>
      <c r="O58" s="35">
        <v>0.0</v>
      </c>
      <c r="P58" s="35">
        <v>0.0</v>
      </c>
      <c r="Q58" s="35">
        <v>0.0</v>
      </c>
      <c r="R58" s="35">
        <v>0.0</v>
      </c>
      <c r="S58" s="35">
        <v>0.0</v>
      </c>
      <c r="T58" s="35">
        <v>4.0</v>
      </c>
      <c r="U58" s="35">
        <v>111.0</v>
      </c>
      <c r="V58" s="35">
        <f t="shared" ref="V58:W58" si="64">Q58+T58</f>
        <v>4</v>
      </c>
      <c r="W58" s="35">
        <f t="shared" si="64"/>
        <v>111</v>
      </c>
      <c r="X58" s="45">
        <f t="shared" si="61"/>
        <v>19</v>
      </c>
      <c r="Y58" s="45">
        <f t="shared" si="62"/>
        <v>19</v>
      </c>
      <c r="Z58" s="35">
        <v>0.0</v>
      </c>
      <c r="AA58" s="35">
        <v>0.0</v>
      </c>
      <c r="AB58" s="35">
        <v>0.0</v>
      </c>
      <c r="AC58" s="35">
        <v>0.0</v>
      </c>
      <c r="AD58" s="35">
        <v>0.0</v>
      </c>
      <c r="AE58" s="35">
        <v>0.0</v>
      </c>
    </row>
    <row r="59">
      <c r="A59" s="33">
        <v>10.0</v>
      </c>
      <c r="B59" s="34">
        <v>1.0</v>
      </c>
      <c r="C59" s="35">
        <v>0.0</v>
      </c>
      <c r="D59" s="35">
        <v>0.0</v>
      </c>
      <c r="E59" s="35">
        <v>0.0</v>
      </c>
      <c r="F59" s="35">
        <v>0.0</v>
      </c>
      <c r="G59" s="35">
        <v>13.0</v>
      </c>
      <c r="H59" s="35">
        <v>4.0</v>
      </c>
      <c r="I59" s="35">
        <v>0.0</v>
      </c>
      <c r="J59" s="35">
        <v>128.0</v>
      </c>
      <c r="K59" s="35">
        <v>0.0</v>
      </c>
      <c r="L59" s="35">
        <v>0.0</v>
      </c>
      <c r="M59" s="35">
        <v>0.0</v>
      </c>
      <c r="N59" s="35">
        <v>0.0</v>
      </c>
      <c r="O59" s="35">
        <v>0.0</v>
      </c>
      <c r="P59" s="35">
        <v>0.0</v>
      </c>
      <c r="Q59" s="35">
        <v>1.0</v>
      </c>
      <c r="R59" s="35">
        <v>150.0</v>
      </c>
      <c r="S59" s="35">
        <v>150.0</v>
      </c>
      <c r="T59" s="35">
        <v>1.0</v>
      </c>
      <c r="U59" s="35">
        <v>25.0</v>
      </c>
      <c r="V59" s="35">
        <f t="shared" ref="V59:W59" si="65">Q59+T59</f>
        <v>2</v>
      </c>
      <c r="W59" s="35">
        <f t="shared" si="65"/>
        <v>175</v>
      </c>
      <c r="X59" s="45">
        <f t="shared" si="61"/>
        <v>17</v>
      </c>
      <c r="Y59" s="45">
        <f t="shared" si="62"/>
        <v>17</v>
      </c>
      <c r="Z59" s="45">
        <v>0.0</v>
      </c>
      <c r="AA59" s="45">
        <v>0.0</v>
      </c>
      <c r="AB59" s="45">
        <v>0.0</v>
      </c>
      <c r="AC59" s="45">
        <v>0.0</v>
      </c>
      <c r="AD59" s="45">
        <v>0.0</v>
      </c>
      <c r="AE59" s="45">
        <v>0.0</v>
      </c>
    </row>
    <row r="60">
      <c r="A60" s="33">
        <v>11.0</v>
      </c>
      <c r="B60" s="34">
        <v>1.0</v>
      </c>
      <c r="C60" s="35">
        <v>0.0</v>
      </c>
      <c r="D60" s="35">
        <v>0.0</v>
      </c>
      <c r="E60" s="35">
        <v>0.0</v>
      </c>
      <c r="F60" s="35">
        <v>0.0</v>
      </c>
      <c r="G60" s="35">
        <v>3.0</v>
      </c>
      <c r="H60" s="35">
        <v>3.0</v>
      </c>
      <c r="I60" s="35">
        <v>0.0</v>
      </c>
      <c r="J60" s="35">
        <v>54.0</v>
      </c>
      <c r="K60" s="35">
        <v>0.0</v>
      </c>
      <c r="L60" s="35">
        <v>0.0</v>
      </c>
      <c r="M60" s="35">
        <v>0.0</v>
      </c>
      <c r="N60" s="35">
        <v>0.0</v>
      </c>
      <c r="O60" s="35">
        <v>0.0</v>
      </c>
      <c r="P60" s="35">
        <v>0.0</v>
      </c>
      <c r="Q60" s="35">
        <v>0.0</v>
      </c>
      <c r="R60" s="35">
        <v>0.0</v>
      </c>
      <c r="S60" s="35">
        <v>0.0</v>
      </c>
      <c r="T60" s="35">
        <v>4.0</v>
      </c>
      <c r="U60" s="35">
        <v>150.0</v>
      </c>
      <c r="V60" s="35">
        <f t="shared" ref="V60:W60" si="66">Q60+T60</f>
        <v>4</v>
      </c>
      <c r="W60" s="35">
        <f t="shared" si="66"/>
        <v>150</v>
      </c>
      <c r="X60" s="45">
        <f t="shared" si="61"/>
        <v>6</v>
      </c>
      <c r="Y60" s="45">
        <f t="shared" si="62"/>
        <v>6</v>
      </c>
      <c r="Z60" s="45">
        <v>0.0</v>
      </c>
      <c r="AA60" s="45">
        <v>0.0</v>
      </c>
      <c r="AB60" s="45">
        <v>0.0</v>
      </c>
      <c r="AC60" s="45">
        <v>0.0</v>
      </c>
      <c r="AD60" s="45">
        <v>0.0</v>
      </c>
      <c r="AE60" s="45">
        <v>0.0</v>
      </c>
    </row>
    <row r="61">
      <c r="A61" s="33">
        <v>12.0</v>
      </c>
      <c r="B61" s="34">
        <v>1.0</v>
      </c>
      <c r="C61" s="35">
        <v>0.0</v>
      </c>
      <c r="D61" s="35">
        <v>0.0</v>
      </c>
      <c r="E61" s="35">
        <v>0.0</v>
      </c>
      <c r="F61" s="35">
        <v>0.0</v>
      </c>
      <c r="G61" s="35">
        <v>0.0</v>
      </c>
      <c r="H61" s="35">
        <v>0.0</v>
      </c>
      <c r="I61" s="35">
        <v>0.0</v>
      </c>
      <c r="J61" s="35">
        <v>0.0</v>
      </c>
      <c r="K61" s="35">
        <v>0.0</v>
      </c>
      <c r="L61" s="35">
        <v>0.0</v>
      </c>
      <c r="M61" s="35">
        <v>0.0</v>
      </c>
      <c r="N61" s="35">
        <v>0.0</v>
      </c>
      <c r="O61" s="35">
        <v>0.0</v>
      </c>
      <c r="P61" s="35">
        <v>0.0</v>
      </c>
      <c r="Q61" s="35">
        <v>0.0</v>
      </c>
      <c r="R61" s="35">
        <v>0.0</v>
      </c>
      <c r="S61" s="35">
        <v>0.0</v>
      </c>
      <c r="T61" s="35">
        <v>1.0</v>
      </c>
      <c r="U61" s="35">
        <v>39.0</v>
      </c>
      <c r="V61" s="35">
        <f t="shared" ref="V61:W61" si="67">Q61+T61</f>
        <v>1</v>
      </c>
      <c r="W61" s="35">
        <f t="shared" si="67"/>
        <v>39</v>
      </c>
      <c r="X61" s="45">
        <f t="shared" si="61"/>
        <v>0</v>
      </c>
      <c r="Y61" s="45">
        <f t="shared" si="62"/>
        <v>0</v>
      </c>
      <c r="Z61" s="45">
        <v>0.0</v>
      </c>
      <c r="AA61" s="45">
        <v>0.0</v>
      </c>
      <c r="AB61" s="45">
        <v>0.0</v>
      </c>
      <c r="AC61" s="45">
        <v>0.0</v>
      </c>
      <c r="AD61" s="45">
        <v>0.0</v>
      </c>
      <c r="AE61" s="45">
        <v>0.0</v>
      </c>
    </row>
    <row r="62">
      <c r="A62" s="33">
        <v>13.0</v>
      </c>
      <c r="B62" s="34">
        <v>1.0</v>
      </c>
      <c r="C62" s="35">
        <v>0.0</v>
      </c>
      <c r="D62" s="35">
        <v>1.0</v>
      </c>
      <c r="E62" s="35">
        <v>0.0</v>
      </c>
      <c r="F62" s="35">
        <v>0.0</v>
      </c>
      <c r="G62" s="35">
        <v>10.0</v>
      </c>
      <c r="H62" s="35">
        <v>4.0</v>
      </c>
      <c r="I62" s="35">
        <v>0.0</v>
      </c>
      <c r="J62" s="35">
        <v>75.0</v>
      </c>
      <c r="K62" s="35">
        <v>0.0</v>
      </c>
      <c r="L62" s="35">
        <v>0.0</v>
      </c>
      <c r="M62" s="35">
        <v>0.0</v>
      </c>
      <c r="N62" s="35">
        <v>0.0</v>
      </c>
      <c r="O62" s="35">
        <v>0.0</v>
      </c>
      <c r="P62" s="35">
        <v>0.0</v>
      </c>
      <c r="Q62" s="35">
        <v>0.0</v>
      </c>
      <c r="R62" s="35">
        <v>0.0</v>
      </c>
      <c r="S62" s="35">
        <v>0.0</v>
      </c>
      <c r="T62" s="35">
        <v>0.0</v>
      </c>
      <c r="U62" s="35">
        <v>0.0</v>
      </c>
      <c r="V62" s="35">
        <f t="shared" ref="V62:W62" si="68">Q62+T62</f>
        <v>0</v>
      </c>
      <c r="W62" s="35">
        <f t="shared" si="68"/>
        <v>0</v>
      </c>
      <c r="X62" s="45">
        <f t="shared" si="61"/>
        <v>14</v>
      </c>
      <c r="Y62" s="45">
        <f t="shared" si="62"/>
        <v>14</v>
      </c>
      <c r="Z62" s="45">
        <v>0.0</v>
      </c>
      <c r="AA62" s="45">
        <v>0.0</v>
      </c>
      <c r="AB62" s="45">
        <v>0.0</v>
      </c>
      <c r="AC62" s="45">
        <v>0.0</v>
      </c>
      <c r="AD62" s="45">
        <v>0.0</v>
      </c>
      <c r="AE62" s="45">
        <v>0.0</v>
      </c>
    </row>
    <row r="63">
      <c r="A63" s="33">
        <v>14.0</v>
      </c>
      <c r="B63" s="34">
        <v>1.0</v>
      </c>
      <c r="C63" s="35">
        <v>0.0</v>
      </c>
      <c r="D63" s="35">
        <v>2.0</v>
      </c>
      <c r="E63" s="35">
        <v>0.0</v>
      </c>
      <c r="F63" s="35">
        <v>0.0</v>
      </c>
      <c r="G63" s="35">
        <v>23.0</v>
      </c>
      <c r="H63" s="35">
        <v>3.0</v>
      </c>
      <c r="I63" s="46">
        <v>1.0</v>
      </c>
      <c r="J63" s="35">
        <v>185.0</v>
      </c>
      <c r="K63" s="35">
        <v>3.0</v>
      </c>
      <c r="L63" s="35">
        <v>3.0</v>
      </c>
      <c r="M63" s="35">
        <v>58.0</v>
      </c>
      <c r="N63" s="35">
        <v>0.0</v>
      </c>
      <c r="O63" s="35">
        <v>0.0</v>
      </c>
      <c r="P63" s="35">
        <v>0.0</v>
      </c>
      <c r="Q63" s="35">
        <v>1.0</v>
      </c>
      <c r="R63" s="35">
        <v>100.0</v>
      </c>
      <c r="S63" s="35">
        <v>100.0</v>
      </c>
      <c r="T63" s="35">
        <v>3.0</v>
      </c>
      <c r="U63" s="35">
        <v>99.0</v>
      </c>
      <c r="V63" s="35">
        <f t="shared" ref="V63:W63" si="69">Q63+T63</f>
        <v>4</v>
      </c>
      <c r="W63" s="35">
        <f t="shared" si="69"/>
        <v>199</v>
      </c>
      <c r="X63" s="45">
        <v>25.0</v>
      </c>
      <c r="Y63" s="45">
        <v>25.0</v>
      </c>
      <c r="Z63" s="45">
        <v>1.0</v>
      </c>
      <c r="AA63" s="45">
        <v>1.0</v>
      </c>
      <c r="AB63" s="45">
        <v>0.0</v>
      </c>
      <c r="AC63" s="45">
        <v>0.0</v>
      </c>
      <c r="AD63" s="45">
        <v>0.0</v>
      </c>
      <c r="AE63" s="45">
        <v>0.0</v>
      </c>
    </row>
    <row r="64">
      <c r="A64" s="33">
        <v>15.0</v>
      </c>
      <c r="B64" s="34">
        <v>1.0</v>
      </c>
      <c r="C64" s="35">
        <v>0.0</v>
      </c>
      <c r="D64" s="35">
        <v>0.0</v>
      </c>
      <c r="E64" s="35">
        <v>0.0</v>
      </c>
      <c r="F64" s="35">
        <v>0.0</v>
      </c>
      <c r="G64" s="35">
        <v>17.0</v>
      </c>
      <c r="H64" s="35">
        <v>2.0</v>
      </c>
      <c r="I64" s="35">
        <v>0.0</v>
      </c>
      <c r="J64" s="35">
        <v>131.0</v>
      </c>
      <c r="K64" s="35">
        <v>0.0</v>
      </c>
      <c r="L64" s="35">
        <v>0.0</v>
      </c>
      <c r="M64" s="35">
        <v>0.0</v>
      </c>
      <c r="N64" s="35">
        <v>0.0</v>
      </c>
      <c r="O64" s="35">
        <v>0.0</v>
      </c>
      <c r="P64" s="35">
        <v>0.0</v>
      </c>
      <c r="Q64" s="35">
        <v>1.0</v>
      </c>
      <c r="R64" s="35">
        <v>40.0</v>
      </c>
      <c r="S64" s="35">
        <v>40.0</v>
      </c>
      <c r="T64" s="35">
        <v>3.0</v>
      </c>
      <c r="U64" s="35">
        <v>76.0</v>
      </c>
      <c r="V64" s="35">
        <f t="shared" ref="V64:W64" si="70">Q64+T64</f>
        <v>4</v>
      </c>
      <c r="W64" s="35">
        <f t="shared" si="70"/>
        <v>116</v>
      </c>
      <c r="X64" s="45">
        <f t="shared" ref="X64:X77" si="72">sum(G64:H64)</f>
        <v>19</v>
      </c>
      <c r="Y64" s="45">
        <f t="shared" ref="Y64:Y77" si="73">sum(G64:H64)</f>
        <v>19</v>
      </c>
      <c r="Z64" s="35">
        <v>1.0</v>
      </c>
      <c r="AA64" s="35">
        <v>1.0</v>
      </c>
      <c r="AB64" s="45">
        <v>0.0</v>
      </c>
      <c r="AC64" s="45">
        <v>0.0</v>
      </c>
      <c r="AD64" s="45">
        <v>0.0</v>
      </c>
      <c r="AE64" s="45">
        <v>0.0</v>
      </c>
    </row>
    <row r="65">
      <c r="A65" s="33">
        <v>16.0</v>
      </c>
      <c r="B65" s="34">
        <v>1.0</v>
      </c>
      <c r="C65" s="35">
        <v>0.0</v>
      </c>
      <c r="D65" s="35">
        <v>1.0</v>
      </c>
      <c r="E65" s="35">
        <v>0.0</v>
      </c>
      <c r="F65" s="35">
        <v>0.0</v>
      </c>
      <c r="G65" s="35">
        <v>17.0</v>
      </c>
      <c r="H65" s="35">
        <v>6.0</v>
      </c>
      <c r="I65" s="35">
        <v>0.0</v>
      </c>
      <c r="J65" s="35">
        <v>149.0</v>
      </c>
      <c r="K65" s="35">
        <v>1.0</v>
      </c>
      <c r="L65" s="35">
        <v>1.0</v>
      </c>
      <c r="M65" s="35">
        <v>4.0</v>
      </c>
      <c r="N65" s="35">
        <v>0.0</v>
      </c>
      <c r="O65" s="35">
        <v>0.0</v>
      </c>
      <c r="P65" s="35">
        <v>0.0</v>
      </c>
      <c r="Q65" s="35">
        <v>2.0</v>
      </c>
      <c r="R65" s="35">
        <v>146.0</v>
      </c>
      <c r="S65" s="35">
        <v>146.0</v>
      </c>
      <c r="T65" s="35">
        <v>2.0</v>
      </c>
      <c r="U65" s="35">
        <v>68.0</v>
      </c>
      <c r="V65" s="35">
        <f t="shared" ref="V65:W65" si="71">Q65+T65</f>
        <v>4</v>
      </c>
      <c r="W65" s="35">
        <f t="shared" si="71"/>
        <v>214</v>
      </c>
      <c r="X65" s="45">
        <f t="shared" si="72"/>
        <v>23</v>
      </c>
      <c r="Y65" s="45">
        <f t="shared" si="73"/>
        <v>23</v>
      </c>
      <c r="Z65" s="35">
        <v>1.0</v>
      </c>
      <c r="AA65" s="35">
        <v>1.0</v>
      </c>
      <c r="AB65" s="35">
        <v>0.0</v>
      </c>
      <c r="AC65" s="35">
        <v>0.0</v>
      </c>
      <c r="AD65" s="35">
        <v>0.0</v>
      </c>
      <c r="AE65" s="35">
        <v>0.0</v>
      </c>
    </row>
    <row r="66">
      <c r="A66" s="33">
        <v>17.0</v>
      </c>
      <c r="B66" s="34">
        <v>1.0</v>
      </c>
      <c r="C66" s="35">
        <v>0.0</v>
      </c>
      <c r="D66" s="35">
        <v>0.0</v>
      </c>
      <c r="E66" s="35">
        <v>0.0</v>
      </c>
      <c r="F66" s="35">
        <v>0.0</v>
      </c>
      <c r="G66" s="35">
        <v>12.0</v>
      </c>
      <c r="H66" s="35">
        <v>2.0</v>
      </c>
      <c r="I66" s="35">
        <v>0.0</v>
      </c>
      <c r="J66" s="35">
        <v>89.0</v>
      </c>
      <c r="K66" s="35">
        <v>0.0</v>
      </c>
      <c r="L66" s="35">
        <v>0.0</v>
      </c>
      <c r="M66" s="35">
        <v>0.0</v>
      </c>
      <c r="N66" s="35">
        <v>0.0</v>
      </c>
      <c r="O66" s="35">
        <v>0.0</v>
      </c>
      <c r="P66" s="35">
        <v>0.0</v>
      </c>
      <c r="Q66" s="35">
        <v>0.0</v>
      </c>
      <c r="R66" s="35">
        <v>0.0</v>
      </c>
      <c r="S66" s="35">
        <v>0.0</v>
      </c>
      <c r="T66" s="35">
        <v>4.0</v>
      </c>
      <c r="U66" s="35">
        <v>113.0</v>
      </c>
      <c r="V66" s="35">
        <f t="shared" ref="V66:W66" si="74">Q66+T66</f>
        <v>4</v>
      </c>
      <c r="W66" s="35">
        <f t="shared" si="74"/>
        <v>113</v>
      </c>
      <c r="X66" s="45">
        <f t="shared" si="72"/>
        <v>14</v>
      </c>
      <c r="Y66" s="45">
        <f t="shared" si="73"/>
        <v>14</v>
      </c>
      <c r="Z66" s="35">
        <v>1.0</v>
      </c>
      <c r="AA66" s="35">
        <v>1.0</v>
      </c>
      <c r="AB66" s="35">
        <v>0.0</v>
      </c>
      <c r="AC66" s="35">
        <v>0.0</v>
      </c>
      <c r="AD66" s="35">
        <v>0.0</v>
      </c>
      <c r="AE66" s="35">
        <v>0.0</v>
      </c>
    </row>
    <row r="67">
      <c r="A67" s="33">
        <v>18.0</v>
      </c>
      <c r="B67" s="34">
        <v>1.0</v>
      </c>
      <c r="C67" s="35">
        <v>1.0</v>
      </c>
      <c r="D67" s="35">
        <v>0.0</v>
      </c>
      <c r="E67" s="35">
        <v>0.0</v>
      </c>
      <c r="F67" s="35">
        <v>0.0</v>
      </c>
      <c r="G67" s="35">
        <v>4.0</v>
      </c>
      <c r="H67" s="35">
        <v>2.0</v>
      </c>
      <c r="I67" s="35">
        <v>0.0</v>
      </c>
      <c r="J67" s="35">
        <v>57.0</v>
      </c>
      <c r="K67" s="35">
        <v>0.0</v>
      </c>
      <c r="L67" s="35">
        <v>0.0</v>
      </c>
      <c r="M67" s="35">
        <v>0.0</v>
      </c>
      <c r="N67" s="35">
        <v>0.0</v>
      </c>
      <c r="O67" s="35">
        <v>0.0</v>
      </c>
      <c r="P67" s="35">
        <v>0.0</v>
      </c>
      <c r="Q67" s="35">
        <v>0.0</v>
      </c>
      <c r="R67" s="35">
        <v>0.0</v>
      </c>
      <c r="S67" s="35">
        <v>0.0</v>
      </c>
      <c r="T67" s="35">
        <v>7.0</v>
      </c>
      <c r="U67" s="35">
        <v>425.0</v>
      </c>
      <c r="V67" s="35">
        <f t="shared" ref="V67:W67" si="75">Q67+T67</f>
        <v>7</v>
      </c>
      <c r="W67" s="35">
        <f t="shared" si="75"/>
        <v>425</v>
      </c>
      <c r="X67" s="45">
        <f t="shared" si="72"/>
        <v>6</v>
      </c>
      <c r="Y67" s="45">
        <f t="shared" si="73"/>
        <v>6</v>
      </c>
      <c r="Z67" s="45">
        <v>2.0</v>
      </c>
      <c r="AA67" s="45">
        <v>2.0</v>
      </c>
      <c r="AB67" s="45">
        <v>0.0</v>
      </c>
      <c r="AC67" s="45">
        <v>0.0</v>
      </c>
      <c r="AD67" s="45">
        <v>0.0</v>
      </c>
      <c r="AE67" s="45">
        <v>0.0</v>
      </c>
    </row>
    <row r="68">
      <c r="A68" s="33">
        <v>19.0</v>
      </c>
      <c r="B68" s="34">
        <v>1.0</v>
      </c>
      <c r="C68" s="35">
        <v>0.0</v>
      </c>
      <c r="D68" s="35">
        <v>2.0</v>
      </c>
      <c r="E68" s="35">
        <v>0.0</v>
      </c>
      <c r="F68" s="35">
        <v>0.0</v>
      </c>
      <c r="G68" s="35">
        <v>0.0</v>
      </c>
      <c r="H68" s="35">
        <v>0.0</v>
      </c>
      <c r="I68" s="35">
        <v>0.0</v>
      </c>
      <c r="J68" s="35">
        <v>0.0</v>
      </c>
      <c r="K68" s="35">
        <v>0.0</v>
      </c>
      <c r="L68" s="35">
        <v>0.0</v>
      </c>
      <c r="M68" s="35">
        <v>0.0</v>
      </c>
      <c r="N68" s="35">
        <v>0.0</v>
      </c>
      <c r="O68" s="35">
        <v>0.0</v>
      </c>
      <c r="P68" s="35">
        <v>0.0</v>
      </c>
      <c r="Q68" s="35">
        <v>0.0</v>
      </c>
      <c r="R68" s="35">
        <v>0.0</v>
      </c>
      <c r="S68" s="35">
        <v>0.0</v>
      </c>
      <c r="T68" s="35">
        <v>1.0</v>
      </c>
      <c r="U68" s="35">
        <v>35.0</v>
      </c>
      <c r="V68" s="35">
        <f t="shared" ref="V68:W68" si="76">Q68+T68</f>
        <v>1</v>
      </c>
      <c r="W68" s="35">
        <f t="shared" si="76"/>
        <v>35</v>
      </c>
      <c r="X68" s="45">
        <f t="shared" si="72"/>
        <v>0</v>
      </c>
      <c r="Y68" s="45">
        <f t="shared" si="73"/>
        <v>0</v>
      </c>
      <c r="Z68" s="45">
        <v>0.0</v>
      </c>
      <c r="AA68" s="45">
        <v>0.0</v>
      </c>
      <c r="AB68" s="45">
        <v>0.0</v>
      </c>
      <c r="AC68" s="45">
        <v>0.0</v>
      </c>
      <c r="AD68" s="45">
        <v>0.0</v>
      </c>
      <c r="AE68" s="45">
        <v>0.0</v>
      </c>
    </row>
    <row r="69">
      <c r="A69" s="33">
        <v>20.0</v>
      </c>
      <c r="B69" s="34">
        <v>1.0</v>
      </c>
      <c r="C69" s="35">
        <v>0.0</v>
      </c>
      <c r="D69" s="35">
        <v>1.0</v>
      </c>
      <c r="E69" s="35">
        <v>0.0</v>
      </c>
      <c r="F69" s="35">
        <v>0.0</v>
      </c>
      <c r="G69" s="35">
        <v>8.0</v>
      </c>
      <c r="H69" s="35">
        <v>2.0</v>
      </c>
      <c r="I69" s="35">
        <v>0.0</v>
      </c>
      <c r="J69" s="35">
        <v>81.0</v>
      </c>
      <c r="K69" s="35">
        <v>0.0</v>
      </c>
      <c r="L69" s="35">
        <v>0.0</v>
      </c>
      <c r="M69" s="35">
        <v>0.0</v>
      </c>
      <c r="N69" s="35">
        <v>0.0</v>
      </c>
      <c r="O69" s="35">
        <v>0.0</v>
      </c>
      <c r="P69" s="35">
        <v>1.0</v>
      </c>
      <c r="Q69" s="35">
        <v>2.0</v>
      </c>
      <c r="R69" s="35">
        <v>1600.0</v>
      </c>
      <c r="S69" s="35">
        <v>1600.0</v>
      </c>
      <c r="T69" s="35">
        <v>3.0</v>
      </c>
      <c r="U69" s="35">
        <v>75.0</v>
      </c>
      <c r="V69" s="35">
        <f t="shared" ref="V69:W69" si="77">Q69+T69</f>
        <v>5</v>
      </c>
      <c r="W69" s="35">
        <f t="shared" si="77"/>
        <v>1675</v>
      </c>
      <c r="X69" s="45">
        <f t="shared" si="72"/>
        <v>10</v>
      </c>
      <c r="Y69" s="45">
        <f t="shared" si="73"/>
        <v>10</v>
      </c>
      <c r="Z69" s="45">
        <v>1.0</v>
      </c>
      <c r="AA69" s="45">
        <v>1.0</v>
      </c>
      <c r="AB69" s="45">
        <v>0.0</v>
      </c>
      <c r="AC69" s="45">
        <v>0.0</v>
      </c>
      <c r="AD69" s="45">
        <v>0.0</v>
      </c>
      <c r="AE69" s="45">
        <v>0.0</v>
      </c>
    </row>
    <row r="70">
      <c r="A70" s="33">
        <v>21.0</v>
      </c>
      <c r="B70" s="34">
        <v>1.0</v>
      </c>
      <c r="C70" s="35">
        <v>0.0</v>
      </c>
      <c r="D70" s="35">
        <v>0.0</v>
      </c>
      <c r="E70" s="35">
        <v>0.0</v>
      </c>
      <c r="F70" s="35">
        <v>1.0</v>
      </c>
      <c r="G70" s="35">
        <v>12.0</v>
      </c>
      <c r="H70" s="35">
        <v>2.0</v>
      </c>
      <c r="I70" s="47"/>
      <c r="J70" s="35">
        <v>118.0</v>
      </c>
      <c r="K70" s="35">
        <v>0.0</v>
      </c>
      <c r="L70" s="35">
        <v>0.0</v>
      </c>
      <c r="M70" s="35">
        <v>0.0</v>
      </c>
      <c r="N70" s="35">
        <v>0.0</v>
      </c>
      <c r="O70" s="35">
        <v>0.0</v>
      </c>
      <c r="P70" s="35">
        <v>0.0</v>
      </c>
      <c r="Q70" s="35">
        <v>0.0</v>
      </c>
      <c r="R70" s="35">
        <v>0.0</v>
      </c>
      <c r="S70" s="35">
        <v>0.0</v>
      </c>
      <c r="T70" s="35">
        <v>3.0</v>
      </c>
      <c r="U70" s="35">
        <v>79.0</v>
      </c>
      <c r="V70" s="35">
        <f t="shared" ref="V70:W70" si="78">Q70+T70</f>
        <v>3</v>
      </c>
      <c r="W70" s="35">
        <f t="shared" si="78"/>
        <v>79</v>
      </c>
      <c r="X70" s="45">
        <f t="shared" si="72"/>
        <v>14</v>
      </c>
      <c r="Y70" s="45">
        <f t="shared" si="73"/>
        <v>14</v>
      </c>
      <c r="Z70" s="45">
        <v>1.0</v>
      </c>
      <c r="AA70" s="45">
        <v>1.0</v>
      </c>
      <c r="AB70" s="45">
        <v>0.0</v>
      </c>
      <c r="AC70" s="45">
        <v>0.0</v>
      </c>
      <c r="AD70" s="45">
        <v>0.0</v>
      </c>
      <c r="AE70" s="45">
        <v>0.0</v>
      </c>
    </row>
    <row r="71">
      <c r="A71" s="33">
        <v>22.0</v>
      </c>
      <c r="B71" s="34">
        <v>1.0</v>
      </c>
      <c r="C71" s="35">
        <v>0.0</v>
      </c>
      <c r="D71" s="35">
        <v>2.0</v>
      </c>
      <c r="E71" s="35">
        <v>0.0</v>
      </c>
      <c r="F71" s="35">
        <v>0.0</v>
      </c>
      <c r="G71" s="35">
        <v>12.0</v>
      </c>
      <c r="H71" s="35">
        <v>5.0</v>
      </c>
      <c r="I71" s="35">
        <v>0.0</v>
      </c>
      <c r="J71" s="35">
        <v>116.0</v>
      </c>
      <c r="K71" s="35">
        <v>0.0</v>
      </c>
      <c r="L71" s="35">
        <v>0.0</v>
      </c>
      <c r="M71" s="35">
        <v>0.0</v>
      </c>
      <c r="N71" s="35">
        <v>0.0</v>
      </c>
      <c r="O71" s="35">
        <v>0.0</v>
      </c>
      <c r="P71" s="35">
        <v>0.0</v>
      </c>
      <c r="Q71" s="35">
        <v>0.0</v>
      </c>
      <c r="R71" s="35">
        <v>0.0</v>
      </c>
      <c r="S71" s="35">
        <v>0.0</v>
      </c>
      <c r="T71" s="35">
        <v>3.0</v>
      </c>
      <c r="U71" s="35">
        <v>89.0</v>
      </c>
      <c r="V71" s="35">
        <f t="shared" ref="V71:W71" si="79">Q71+T71</f>
        <v>3</v>
      </c>
      <c r="W71" s="35">
        <f t="shared" si="79"/>
        <v>89</v>
      </c>
      <c r="X71" s="45">
        <f t="shared" si="72"/>
        <v>17</v>
      </c>
      <c r="Y71" s="45">
        <f t="shared" si="73"/>
        <v>17</v>
      </c>
      <c r="Z71" s="45">
        <v>2.0</v>
      </c>
      <c r="AA71" s="45">
        <v>2.0</v>
      </c>
      <c r="AB71" s="45">
        <v>0.0</v>
      </c>
      <c r="AC71" s="45">
        <v>0.0</v>
      </c>
      <c r="AD71" s="45">
        <v>0.0</v>
      </c>
      <c r="AE71" s="45">
        <v>0.0</v>
      </c>
    </row>
    <row r="72">
      <c r="A72" s="33">
        <v>23.0</v>
      </c>
      <c r="B72" s="34">
        <v>1.0</v>
      </c>
      <c r="C72" s="35">
        <v>0.0</v>
      </c>
      <c r="D72" s="35">
        <v>2.0</v>
      </c>
      <c r="E72" s="35">
        <v>0.0</v>
      </c>
      <c r="F72" s="35">
        <v>0.0</v>
      </c>
      <c r="G72" s="35">
        <v>0.0</v>
      </c>
      <c r="H72" s="35">
        <v>0.0</v>
      </c>
      <c r="I72" s="35">
        <v>0.0</v>
      </c>
      <c r="J72" s="35">
        <v>0.0</v>
      </c>
      <c r="K72" s="35">
        <v>0.0</v>
      </c>
      <c r="L72" s="35">
        <v>0.0</v>
      </c>
      <c r="M72" s="35">
        <v>0.0</v>
      </c>
      <c r="N72" s="35">
        <v>0.0</v>
      </c>
      <c r="O72" s="35">
        <v>0.0</v>
      </c>
      <c r="P72" s="35">
        <v>0.0</v>
      </c>
      <c r="Q72" s="35">
        <v>0.0</v>
      </c>
      <c r="R72" s="35">
        <v>0.0</v>
      </c>
      <c r="S72" s="35">
        <v>0.0</v>
      </c>
      <c r="T72" s="35">
        <v>3.0</v>
      </c>
      <c r="U72" s="35">
        <v>379.0</v>
      </c>
      <c r="V72" s="35">
        <f t="shared" ref="V72:W72" si="80">Q72+T72</f>
        <v>3</v>
      </c>
      <c r="W72" s="35">
        <f t="shared" si="80"/>
        <v>379</v>
      </c>
      <c r="X72" s="45">
        <f t="shared" si="72"/>
        <v>0</v>
      </c>
      <c r="Y72" s="45">
        <f t="shared" si="73"/>
        <v>0</v>
      </c>
      <c r="Z72" s="45">
        <v>0.0</v>
      </c>
      <c r="AA72" s="45">
        <v>0.0</v>
      </c>
      <c r="AB72" s="45">
        <v>0.0</v>
      </c>
      <c r="AC72" s="45">
        <v>0.0</v>
      </c>
      <c r="AD72" s="45">
        <v>0.0</v>
      </c>
      <c r="AE72" s="45">
        <v>0.0</v>
      </c>
    </row>
    <row r="73">
      <c r="A73" s="33">
        <v>24.0</v>
      </c>
      <c r="B73" s="34">
        <v>1.0</v>
      </c>
      <c r="C73" s="35">
        <v>0.0</v>
      </c>
      <c r="D73" s="35">
        <v>2.0</v>
      </c>
      <c r="E73" s="35">
        <v>0.0</v>
      </c>
      <c r="F73" s="35">
        <v>0.0</v>
      </c>
      <c r="G73" s="35">
        <v>5.0</v>
      </c>
      <c r="H73" s="35">
        <v>0.0</v>
      </c>
      <c r="I73" s="35">
        <v>0.0</v>
      </c>
      <c r="J73" s="35">
        <v>31.0</v>
      </c>
      <c r="K73" s="35">
        <v>0.0</v>
      </c>
      <c r="L73" s="35">
        <v>0.0</v>
      </c>
      <c r="M73" s="35">
        <v>0.0</v>
      </c>
      <c r="N73" s="35">
        <v>0.0</v>
      </c>
      <c r="O73" s="35">
        <v>0.0</v>
      </c>
      <c r="P73" s="35">
        <v>0.0</v>
      </c>
      <c r="Q73" s="35">
        <v>0.0</v>
      </c>
      <c r="R73" s="35">
        <v>0.0</v>
      </c>
      <c r="S73" s="35">
        <v>0.0</v>
      </c>
      <c r="T73" s="35">
        <v>4.0</v>
      </c>
      <c r="U73" s="35">
        <v>109.0</v>
      </c>
      <c r="V73" s="35">
        <f t="shared" ref="V73:W73" si="81">Q73+T73</f>
        <v>4</v>
      </c>
      <c r="W73" s="35">
        <f t="shared" si="81"/>
        <v>109</v>
      </c>
      <c r="X73" s="45">
        <f t="shared" si="72"/>
        <v>5</v>
      </c>
      <c r="Y73" s="45">
        <f t="shared" si="73"/>
        <v>5</v>
      </c>
      <c r="Z73" s="45">
        <v>3.0</v>
      </c>
      <c r="AA73" s="45">
        <v>3.0</v>
      </c>
      <c r="AB73" s="45">
        <v>0.0</v>
      </c>
      <c r="AC73" s="45">
        <v>0.0</v>
      </c>
      <c r="AD73" s="45">
        <v>0.0</v>
      </c>
      <c r="AE73" s="45">
        <v>0.0</v>
      </c>
    </row>
    <row r="74">
      <c r="A74" s="33">
        <v>25.0</v>
      </c>
      <c r="B74" s="34">
        <v>1.0</v>
      </c>
      <c r="C74" s="35">
        <v>0.0</v>
      </c>
      <c r="D74" s="35">
        <v>2.0</v>
      </c>
      <c r="E74" s="35">
        <v>0.0</v>
      </c>
      <c r="F74" s="35">
        <v>0.0</v>
      </c>
      <c r="G74" s="35">
        <v>2.0</v>
      </c>
      <c r="H74" s="35">
        <v>0.0</v>
      </c>
      <c r="I74" s="35">
        <v>0.0</v>
      </c>
      <c r="J74" s="35">
        <v>19.0</v>
      </c>
      <c r="K74" s="35">
        <v>1.0</v>
      </c>
      <c r="L74" s="35">
        <v>1.0</v>
      </c>
      <c r="M74" s="35">
        <v>4.0</v>
      </c>
      <c r="N74" s="35">
        <v>0.0</v>
      </c>
      <c r="O74" s="35">
        <v>0.0</v>
      </c>
      <c r="P74" s="35">
        <v>0.0</v>
      </c>
      <c r="Q74" s="35">
        <v>0.0</v>
      </c>
      <c r="R74" s="35">
        <v>0.0</v>
      </c>
      <c r="S74" s="35">
        <v>0.0</v>
      </c>
      <c r="T74" s="35">
        <v>4.0</v>
      </c>
      <c r="U74" s="35">
        <v>207.0</v>
      </c>
      <c r="V74" s="35">
        <f t="shared" ref="V74:W74" si="82">Q74+T74</f>
        <v>4</v>
      </c>
      <c r="W74" s="35">
        <f t="shared" si="82"/>
        <v>207</v>
      </c>
      <c r="X74" s="45">
        <f t="shared" si="72"/>
        <v>2</v>
      </c>
      <c r="Y74" s="45">
        <f t="shared" si="73"/>
        <v>2</v>
      </c>
      <c r="Z74" s="45">
        <v>1.0</v>
      </c>
      <c r="AA74" s="45">
        <v>1.0</v>
      </c>
      <c r="AB74" s="45">
        <v>0.0</v>
      </c>
      <c r="AC74" s="45">
        <v>0.0</v>
      </c>
      <c r="AD74" s="45">
        <v>0.0</v>
      </c>
      <c r="AE74" s="45">
        <v>0.0</v>
      </c>
    </row>
    <row r="75">
      <c r="A75" s="33">
        <v>26.0</v>
      </c>
      <c r="B75" s="34">
        <v>1.0</v>
      </c>
      <c r="C75" s="35">
        <v>0.0</v>
      </c>
      <c r="D75" s="35">
        <v>1.0</v>
      </c>
      <c r="E75" s="35">
        <v>0.0</v>
      </c>
      <c r="F75" s="35">
        <v>0.0</v>
      </c>
      <c r="G75" s="35">
        <v>0.0</v>
      </c>
      <c r="H75" s="35">
        <v>0.0</v>
      </c>
      <c r="I75" s="35">
        <v>0.0</v>
      </c>
      <c r="J75" s="35">
        <v>0.0</v>
      </c>
      <c r="K75" s="35">
        <v>0.0</v>
      </c>
      <c r="L75" s="35">
        <v>0.0</v>
      </c>
      <c r="M75" s="35">
        <v>0.0</v>
      </c>
      <c r="N75" s="35">
        <v>0.0</v>
      </c>
      <c r="O75" s="35">
        <v>0.0</v>
      </c>
      <c r="P75" s="35">
        <v>0.0</v>
      </c>
      <c r="Q75" s="35">
        <v>0.0</v>
      </c>
      <c r="R75" s="35">
        <v>0.0</v>
      </c>
      <c r="S75" s="35">
        <v>0.0</v>
      </c>
      <c r="T75" s="35">
        <v>0.0</v>
      </c>
      <c r="U75" s="35">
        <v>0.0</v>
      </c>
      <c r="V75" s="35">
        <f t="shared" ref="V75:W75" si="83">Q75+T75</f>
        <v>0</v>
      </c>
      <c r="W75" s="35">
        <f t="shared" si="83"/>
        <v>0</v>
      </c>
      <c r="X75" s="45">
        <f t="shared" si="72"/>
        <v>0</v>
      </c>
      <c r="Y75" s="45">
        <f t="shared" si="73"/>
        <v>0</v>
      </c>
      <c r="Z75" s="45">
        <v>0.0</v>
      </c>
      <c r="AA75" s="45">
        <v>0.0</v>
      </c>
      <c r="AB75" s="45">
        <v>0.0</v>
      </c>
      <c r="AC75" s="45">
        <v>0.0</v>
      </c>
      <c r="AD75" s="45">
        <v>0.0</v>
      </c>
      <c r="AE75" s="45">
        <v>0.0</v>
      </c>
    </row>
    <row r="76">
      <c r="A76" s="33">
        <v>27.0</v>
      </c>
      <c r="B76" s="34">
        <v>1.0</v>
      </c>
      <c r="C76" s="35">
        <v>0.0</v>
      </c>
      <c r="D76" s="35">
        <v>2.0</v>
      </c>
      <c r="E76" s="35">
        <v>0.0</v>
      </c>
      <c r="F76" s="35">
        <v>0.0</v>
      </c>
      <c r="G76" s="35">
        <v>1.0</v>
      </c>
      <c r="H76" s="35">
        <v>0.0</v>
      </c>
      <c r="I76" s="35">
        <v>0.0</v>
      </c>
      <c r="J76" s="35">
        <v>5.0</v>
      </c>
      <c r="K76" s="35">
        <v>0.0</v>
      </c>
      <c r="L76" s="35">
        <v>0.0</v>
      </c>
      <c r="M76" s="35">
        <v>0.0</v>
      </c>
      <c r="N76" s="35">
        <v>0.0</v>
      </c>
      <c r="O76" s="35">
        <v>0.0</v>
      </c>
      <c r="P76" s="35">
        <v>0.0</v>
      </c>
      <c r="Q76" s="35">
        <v>1.0</v>
      </c>
      <c r="R76" s="35">
        <v>950.0</v>
      </c>
      <c r="S76" s="35">
        <v>950.0</v>
      </c>
      <c r="T76" s="35">
        <v>3.0</v>
      </c>
      <c r="U76" s="35">
        <v>80.0</v>
      </c>
      <c r="V76" s="35">
        <f t="shared" ref="V76:W76" si="84">Q76+T76</f>
        <v>4</v>
      </c>
      <c r="W76" s="35">
        <f t="shared" si="84"/>
        <v>1030</v>
      </c>
      <c r="X76" s="45">
        <f t="shared" si="72"/>
        <v>1</v>
      </c>
      <c r="Y76" s="45">
        <f t="shared" si="73"/>
        <v>1</v>
      </c>
      <c r="Z76" s="45">
        <v>0.0</v>
      </c>
      <c r="AA76" s="45">
        <v>0.0</v>
      </c>
      <c r="AB76" s="45">
        <v>0.0</v>
      </c>
      <c r="AC76" s="45">
        <v>0.0</v>
      </c>
      <c r="AD76" s="45">
        <v>0.0</v>
      </c>
      <c r="AE76" s="45">
        <v>0.0</v>
      </c>
    </row>
    <row r="77">
      <c r="A77" s="33">
        <v>28.0</v>
      </c>
      <c r="B77" s="34">
        <v>1.0</v>
      </c>
      <c r="C77" s="35">
        <v>0.0</v>
      </c>
      <c r="D77" s="35">
        <v>0.0</v>
      </c>
      <c r="E77" s="35">
        <v>0.0</v>
      </c>
      <c r="F77" s="35">
        <v>0.0</v>
      </c>
      <c r="G77" s="35">
        <v>8.0</v>
      </c>
      <c r="H77" s="35">
        <v>4.0</v>
      </c>
      <c r="I77" s="35">
        <v>0.0</v>
      </c>
      <c r="J77" s="35">
        <v>98.0</v>
      </c>
      <c r="K77" s="35">
        <v>1.0</v>
      </c>
      <c r="L77" s="35">
        <v>1.0</v>
      </c>
      <c r="M77" s="35">
        <v>10.0</v>
      </c>
      <c r="N77" s="35">
        <v>0.0</v>
      </c>
      <c r="O77" s="35">
        <v>0.0</v>
      </c>
      <c r="P77" s="35">
        <v>1.0</v>
      </c>
      <c r="Q77" s="35">
        <v>1.0</v>
      </c>
      <c r="R77" s="35">
        <v>500.0</v>
      </c>
      <c r="S77" s="35">
        <v>500.0</v>
      </c>
      <c r="T77" s="35">
        <v>2.0</v>
      </c>
      <c r="U77" s="35">
        <v>49.0</v>
      </c>
      <c r="V77" s="35">
        <f t="shared" ref="V77:W77" si="85">Q77+T77</f>
        <v>3</v>
      </c>
      <c r="W77" s="35">
        <f t="shared" si="85"/>
        <v>549</v>
      </c>
      <c r="X77" s="45">
        <f t="shared" si="72"/>
        <v>12</v>
      </c>
      <c r="Y77" s="45">
        <f t="shared" si="73"/>
        <v>12</v>
      </c>
      <c r="Z77" s="45">
        <v>1.0</v>
      </c>
      <c r="AA77" s="45">
        <v>1.0</v>
      </c>
      <c r="AB77" s="45">
        <v>0.0</v>
      </c>
      <c r="AC77" s="45">
        <v>0.0</v>
      </c>
      <c r="AD77" s="45">
        <v>0.0</v>
      </c>
      <c r="AE77" s="45">
        <v>0.0</v>
      </c>
    </row>
    <row r="78">
      <c r="A78" s="33">
        <v>29.0</v>
      </c>
      <c r="B78" s="34">
        <v>1.0</v>
      </c>
      <c r="C78" s="35">
        <v>0.0</v>
      </c>
      <c r="D78" s="35">
        <v>2.0</v>
      </c>
      <c r="E78" s="35">
        <v>0.0</v>
      </c>
      <c r="F78" s="35">
        <v>0.0</v>
      </c>
      <c r="G78" s="35">
        <v>12.0</v>
      </c>
      <c r="H78" s="35">
        <v>6.0</v>
      </c>
      <c r="I78" s="35">
        <v>1.0</v>
      </c>
      <c r="J78" s="35">
        <v>161.0</v>
      </c>
      <c r="K78" s="35">
        <v>1.0</v>
      </c>
      <c r="L78" s="35">
        <v>1.0</v>
      </c>
      <c r="M78" s="35">
        <v>25.0</v>
      </c>
      <c r="N78" s="35">
        <v>0.0</v>
      </c>
      <c r="O78" s="35">
        <v>0.0</v>
      </c>
      <c r="P78" s="35">
        <v>0.0</v>
      </c>
      <c r="Q78" s="35">
        <v>0.0</v>
      </c>
      <c r="R78" s="35">
        <v>0.0</v>
      </c>
      <c r="S78" s="35">
        <v>0.0</v>
      </c>
      <c r="T78" s="35">
        <v>1.0</v>
      </c>
      <c r="U78" s="35">
        <v>30.0</v>
      </c>
      <c r="V78" s="35">
        <f t="shared" ref="V78:W78" si="86">Q78+T78</f>
        <v>1</v>
      </c>
      <c r="W78" s="35">
        <f t="shared" si="86"/>
        <v>30</v>
      </c>
      <c r="X78" s="45">
        <f>sum(G78:H78)-I78</f>
        <v>17</v>
      </c>
      <c r="Y78" s="45">
        <f>sum(G78:H78)-I78</f>
        <v>17</v>
      </c>
      <c r="Z78" s="45">
        <v>1.0</v>
      </c>
      <c r="AA78" s="45">
        <v>1.0</v>
      </c>
      <c r="AB78" s="45">
        <v>0.0</v>
      </c>
      <c r="AC78" s="45">
        <v>0.0</v>
      </c>
      <c r="AD78" s="45">
        <v>0.0</v>
      </c>
      <c r="AE78" s="45">
        <v>0.0</v>
      </c>
    </row>
    <row r="79">
      <c r="A79" s="33">
        <v>30.0</v>
      </c>
      <c r="B79" s="34">
        <v>1.0</v>
      </c>
      <c r="C79" s="35">
        <v>0.0</v>
      </c>
      <c r="D79" s="35">
        <v>1.0</v>
      </c>
      <c r="E79" s="35">
        <v>0.0</v>
      </c>
      <c r="F79" s="35">
        <v>0.0</v>
      </c>
      <c r="G79" s="35">
        <v>3.0</v>
      </c>
      <c r="H79" s="35">
        <v>5.0</v>
      </c>
      <c r="I79" s="35">
        <v>0.0</v>
      </c>
      <c r="J79" s="35">
        <v>57.0</v>
      </c>
      <c r="K79" s="35">
        <v>0.0</v>
      </c>
      <c r="L79" s="35">
        <v>0.0</v>
      </c>
      <c r="M79" s="35">
        <v>0.0</v>
      </c>
      <c r="N79" s="35">
        <v>0.0</v>
      </c>
      <c r="O79" s="35">
        <v>0.0</v>
      </c>
      <c r="P79" s="35">
        <v>0.0</v>
      </c>
      <c r="Q79" s="35">
        <v>0.0</v>
      </c>
      <c r="R79" s="35">
        <v>0.0</v>
      </c>
      <c r="S79" s="35">
        <v>0.0</v>
      </c>
      <c r="T79" s="35">
        <v>2.0</v>
      </c>
      <c r="U79" s="35">
        <v>70.0</v>
      </c>
      <c r="V79" s="35">
        <f t="shared" ref="V79:W79" si="87">Q79+T79</f>
        <v>2</v>
      </c>
      <c r="W79" s="35">
        <f t="shared" si="87"/>
        <v>70</v>
      </c>
      <c r="X79" s="45">
        <f t="shared" ref="X79:X85" si="89">sum(G79:H79)</f>
        <v>8</v>
      </c>
      <c r="Y79" s="45">
        <f t="shared" ref="Y79:Y85" si="90">sum(G79:H79)</f>
        <v>8</v>
      </c>
      <c r="Z79" s="45">
        <v>0.0</v>
      </c>
      <c r="AA79" s="45">
        <v>0.0</v>
      </c>
      <c r="AB79" s="45">
        <v>0.0</v>
      </c>
      <c r="AC79" s="45">
        <v>0.0</v>
      </c>
      <c r="AD79" s="45">
        <v>0.0</v>
      </c>
      <c r="AE79" s="45">
        <v>0.0</v>
      </c>
    </row>
    <row r="80">
      <c r="A80" s="33">
        <v>31.0</v>
      </c>
      <c r="B80" s="34">
        <v>1.0</v>
      </c>
      <c r="C80" s="35">
        <v>0.0</v>
      </c>
      <c r="D80" s="35">
        <v>2.0</v>
      </c>
      <c r="E80" s="35">
        <v>0.0</v>
      </c>
      <c r="F80" s="35">
        <v>0.0</v>
      </c>
      <c r="G80" s="35">
        <v>12.0</v>
      </c>
      <c r="H80" s="35">
        <v>5.0</v>
      </c>
      <c r="I80" s="35">
        <v>0.0</v>
      </c>
      <c r="J80" s="35">
        <v>139.0</v>
      </c>
      <c r="K80" s="35">
        <v>1.0</v>
      </c>
      <c r="L80" s="35">
        <v>1.0</v>
      </c>
      <c r="M80" s="35">
        <v>4.0</v>
      </c>
      <c r="N80" s="35">
        <v>0.0</v>
      </c>
      <c r="O80" s="35">
        <v>0.0</v>
      </c>
      <c r="P80" s="35">
        <v>0.0</v>
      </c>
      <c r="Q80" s="35">
        <v>0.0</v>
      </c>
      <c r="R80" s="35">
        <v>0.0</v>
      </c>
      <c r="S80" s="35">
        <v>0.0</v>
      </c>
      <c r="T80" s="35">
        <v>4.0</v>
      </c>
      <c r="U80" s="35">
        <v>311.0</v>
      </c>
      <c r="V80" s="35">
        <f t="shared" ref="V80:W80" si="88">Q80+T80</f>
        <v>4</v>
      </c>
      <c r="W80" s="35">
        <f t="shared" si="88"/>
        <v>311</v>
      </c>
      <c r="X80" s="45">
        <f t="shared" si="89"/>
        <v>17</v>
      </c>
      <c r="Y80" s="45">
        <f t="shared" si="90"/>
        <v>17</v>
      </c>
      <c r="Z80" s="45">
        <v>1.0</v>
      </c>
      <c r="AA80" s="45">
        <v>1.0</v>
      </c>
      <c r="AB80" s="45">
        <v>0.0</v>
      </c>
      <c r="AC80" s="45">
        <v>0.0</v>
      </c>
      <c r="AD80" s="45">
        <v>0.0</v>
      </c>
      <c r="AE80" s="45">
        <v>0.0</v>
      </c>
    </row>
    <row r="81">
      <c r="A81" s="33">
        <v>1.0</v>
      </c>
      <c r="B81" s="39">
        <v>2.0</v>
      </c>
      <c r="C81" s="35">
        <v>1.0</v>
      </c>
      <c r="D81" s="35">
        <v>4.0</v>
      </c>
      <c r="E81" s="35">
        <v>0.0</v>
      </c>
      <c r="F81" s="35">
        <v>0.0</v>
      </c>
      <c r="G81" s="35">
        <v>3.0</v>
      </c>
      <c r="H81" s="35">
        <v>0.0</v>
      </c>
      <c r="I81" s="35">
        <v>0.0</v>
      </c>
      <c r="J81" s="35">
        <v>30.0</v>
      </c>
      <c r="K81" s="35">
        <v>0.0</v>
      </c>
      <c r="L81" s="35">
        <v>0.0</v>
      </c>
      <c r="M81" s="35">
        <v>0.0</v>
      </c>
      <c r="N81" s="35">
        <v>0.0</v>
      </c>
      <c r="O81" s="35">
        <v>0.0</v>
      </c>
      <c r="P81" s="35">
        <v>0.0</v>
      </c>
      <c r="Q81" s="35">
        <v>0.0</v>
      </c>
      <c r="R81" s="35">
        <v>0.0</v>
      </c>
      <c r="S81" s="35">
        <v>0.0</v>
      </c>
      <c r="T81" s="35">
        <v>4.0</v>
      </c>
      <c r="U81" s="35">
        <v>323.0</v>
      </c>
      <c r="V81" s="35">
        <f t="shared" ref="V81:W81" si="91">Q81+T81</f>
        <v>4</v>
      </c>
      <c r="W81" s="35">
        <f t="shared" si="91"/>
        <v>323</v>
      </c>
      <c r="X81" s="45">
        <f t="shared" si="89"/>
        <v>3</v>
      </c>
      <c r="Y81" s="45">
        <f t="shared" si="90"/>
        <v>3</v>
      </c>
      <c r="Z81" s="35">
        <v>1.0</v>
      </c>
      <c r="AA81" s="35">
        <v>1.0</v>
      </c>
      <c r="AB81" s="35">
        <v>0.0</v>
      </c>
      <c r="AC81" s="35">
        <v>0.0</v>
      </c>
      <c r="AD81" s="35">
        <v>0.0</v>
      </c>
      <c r="AE81" s="35">
        <v>0.0</v>
      </c>
    </row>
    <row r="82">
      <c r="A82" s="33">
        <v>2.0</v>
      </c>
      <c r="B82" s="39">
        <v>2.0</v>
      </c>
      <c r="C82" s="35">
        <v>0.0</v>
      </c>
      <c r="D82" s="35">
        <v>1.0</v>
      </c>
      <c r="E82" s="35">
        <v>0.0</v>
      </c>
      <c r="F82" s="35">
        <v>0.0</v>
      </c>
      <c r="G82" s="35">
        <v>0.0</v>
      </c>
      <c r="H82" s="35">
        <v>0.0</v>
      </c>
      <c r="I82" s="35">
        <v>0.0</v>
      </c>
      <c r="J82" s="35">
        <v>0.0</v>
      </c>
      <c r="K82" s="35">
        <v>0.0</v>
      </c>
      <c r="L82" s="35">
        <v>0.0</v>
      </c>
      <c r="M82" s="35">
        <v>0.0</v>
      </c>
      <c r="N82" s="35">
        <v>0.0</v>
      </c>
      <c r="O82" s="35">
        <v>0.0</v>
      </c>
      <c r="P82" s="35">
        <v>0.0</v>
      </c>
      <c r="Q82" s="35">
        <v>0.0</v>
      </c>
      <c r="R82" s="35">
        <v>0.0</v>
      </c>
      <c r="S82" s="35">
        <v>0.0</v>
      </c>
      <c r="T82" s="35">
        <v>0.0</v>
      </c>
      <c r="U82" s="35">
        <v>0.0</v>
      </c>
      <c r="V82" s="35">
        <f t="shared" ref="V82:W82" si="92">Q82+T82</f>
        <v>0</v>
      </c>
      <c r="W82" s="35">
        <f t="shared" si="92"/>
        <v>0</v>
      </c>
      <c r="X82" s="45">
        <f t="shared" si="89"/>
        <v>0</v>
      </c>
      <c r="Y82" s="45">
        <f t="shared" si="90"/>
        <v>0</v>
      </c>
      <c r="Z82" s="45">
        <v>1.0</v>
      </c>
      <c r="AA82" s="45">
        <v>1.0</v>
      </c>
      <c r="AB82" s="45">
        <v>0.0</v>
      </c>
      <c r="AC82" s="45">
        <v>0.0</v>
      </c>
      <c r="AD82" s="45">
        <v>0.0</v>
      </c>
      <c r="AE82" s="45">
        <v>0.0</v>
      </c>
    </row>
    <row r="83">
      <c r="A83" s="33">
        <v>3.0</v>
      </c>
      <c r="B83" s="39">
        <v>2.0</v>
      </c>
      <c r="C83" s="35">
        <v>0.0</v>
      </c>
      <c r="D83" s="35">
        <v>2.0</v>
      </c>
      <c r="E83" s="35">
        <v>1.0</v>
      </c>
      <c r="F83" s="35">
        <v>0.0</v>
      </c>
      <c r="G83" s="35">
        <v>5.0</v>
      </c>
      <c r="H83" s="35">
        <v>5.0</v>
      </c>
      <c r="I83" s="35">
        <v>0.0</v>
      </c>
      <c r="J83" s="35">
        <v>81.0</v>
      </c>
      <c r="K83" s="35">
        <v>1.0</v>
      </c>
      <c r="L83" s="35">
        <v>1.0</v>
      </c>
      <c r="M83" s="35">
        <v>4.0</v>
      </c>
      <c r="N83" s="35">
        <v>0.0</v>
      </c>
      <c r="O83" s="35">
        <v>0.0</v>
      </c>
      <c r="P83" s="35">
        <v>0.0</v>
      </c>
      <c r="Q83" s="35">
        <v>0.0</v>
      </c>
      <c r="R83" s="35">
        <v>0.0</v>
      </c>
      <c r="S83" s="35">
        <v>0.0</v>
      </c>
      <c r="T83" s="35">
        <v>0.0</v>
      </c>
      <c r="U83" s="35">
        <v>0.0</v>
      </c>
      <c r="V83" s="35">
        <f t="shared" ref="V83:W83" si="93">Q83+T83</f>
        <v>0</v>
      </c>
      <c r="W83" s="35">
        <f t="shared" si="93"/>
        <v>0</v>
      </c>
      <c r="X83" s="45">
        <f t="shared" si="89"/>
        <v>10</v>
      </c>
      <c r="Y83" s="45">
        <f t="shared" si="90"/>
        <v>10</v>
      </c>
      <c r="Z83" s="45">
        <v>1.0</v>
      </c>
      <c r="AA83" s="45">
        <v>1.0</v>
      </c>
      <c r="AB83" s="45">
        <v>0.0</v>
      </c>
      <c r="AC83" s="45">
        <v>0.0</v>
      </c>
      <c r="AD83" s="45">
        <v>0.0</v>
      </c>
      <c r="AE83" s="45">
        <v>0.0</v>
      </c>
    </row>
    <row r="84">
      <c r="A84" s="33">
        <v>4.0</v>
      </c>
      <c r="B84" s="39">
        <v>2.0</v>
      </c>
      <c r="C84" s="35">
        <v>0.0</v>
      </c>
      <c r="D84" s="35">
        <v>2.0</v>
      </c>
      <c r="E84" s="35">
        <v>0.0</v>
      </c>
      <c r="F84" s="35">
        <v>0.0</v>
      </c>
      <c r="G84" s="35">
        <v>16.0</v>
      </c>
      <c r="H84" s="35">
        <v>4.0</v>
      </c>
      <c r="I84" s="35">
        <v>0.0</v>
      </c>
      <c r="J84" s="35">
        <v>134.0</v>
      </c>
      <c r="K84" s="35">
        <v>0.0</v>
      </c>
      <c r="L84" s="35">
        <v>0.0</v>
      </c>
      <c r="M84" s="35">
        <v>0.0</v>
      </c>
      <c r="N84" s="35">
        <v>0.0</v>
      </c>
      <c r="O84" s="35">
        <v>0.0</v>
      </c>
      <c r="P84" s="35">
        <v>0.0</v>
      </c>
      <c r="Q84" s="35">
        <v>0.0</v>
      </c>
      <c r="R84" s="35">
        <v>0.0</v>
      </c>
      <c r="S84" s="35">
        <v>0.0</v>
      </c>
      <c r="T84" s="35">
        <v>1.0</v>
      </c>
      <c r="U84" s="35">
        <v>25.0</v>
      </c>
      <c r="V84" s="35">
        <f t="shared" ref="V84:W84" si="94">Q84+T84</f>
        <v>1</v>
      </c>
      <c r="W84" s="35">
        <f t="shared" si="94"/>
        <v>25</v>
      </c>
      <c r="X84" s="45">
        <f t="shared" si="89"/>
        <v>20</v>
      </c>
      <c r="Y84" s="45">
        <f t="shared" si="90"/>
        <v>20</v>
      </c>
      <c r="Z84" s="45">
        <v>0.0</v>
      </c>
      <c r="AA84" s="45">
        <v>0.0</v>
      </c>
      <c r="AB84" s="45">
        <v>0.0</v>
      </c>
      <c r="AC84" s="45">
        <v>0.0</v>
      </c>
      <c r="AD84" s="45">
        <v>0.0</v>
      </c>
      <c r="AE84" s="45">
        <v>0.0</v>
      </c>
    </row>
    <row r="85">
      <c r="A85" s="33">
        <v>5.0</v>
      </c>
      <c r="B85" s="39">
        <v>2.0</v>
      </c>
      <c r="C85" s="35">
        <v>0.0</v>
      </c>
      <c r="D85" s="35">
        <v>4.0</v>
      </c>
      <c r="E85" s="35">
        <v>0.0</v>
      </c>
      <c r="F85" s="35">
        <v>0.0</v>
      </c>
      <c r="G85" s="35">
        <v>19.0</v>
      </c>
      <c r="H85" s="35">
        <v>5.0</v>
      </c>
      <c r="I85" s="35">
        <v>0.0</v>
      </c>
      <c r="J85" s="35">
        <v>170.0</v>
      </c>
      <c r="K85" s="35">
        <v>0.0</v>
      </c>
      <c r="L85" s="35">
        <v>0.0</v>
      </c>
      <c r="M85" s="35">
        <v>0.0</v>
      </c>
      <c r="N85" s="35">
        <v>0.0</v>
      </c>
      <c r="O85" s="35">
        <v>0.0</v>
      </c>
      <c r="P85" s="35">
        <v>0.0</v>
      </c>
      <c r="Q85" s="35">
        <v>0.0</v>
      </c>
      <c r="R85" s="35">
        <v>0.0</v>
      </c>
      <c r="S85" s="35">
        <v>0.0</v>
      </c>
      <c r="T85" s="35">
        <v>0.0</v>
      </c>
      <c r="U85" s="35">
        <v>0.0</v>
      </c>
      <c r="V85" s="35">
        <f t="shared" ref="V85:W85" si="95">Q85+T85</f>
        <v>0</v>
      </c>
      <c r="W85" s="35">
        <f t="shared" si="95"/>
        <v>0</v>
      </c>
      <c r="X85" s="45">
        <f t="shared" si="89"/>
        <v>24</v>
      </c>
      <c r="Y85" s="45">
        <f t="shared" si="90"/>
        <v>24</v>
      </c>
      <c r="Z85" s="45">
        <v>0.0</v>
      </c>
      <c r="AA85" s="45">
        <v>0.0</v>
      </c>
      <c r="AB85" s="45">
        <v>0.0</v>
      </c>
      <c r="AC85" s="45">
        <v>0.0</v>
      </c>
      <c r="AD85" s="45">
        <v>0.0</v>
      </c>
      <c r="AE85" s="45">
        <v>0.0</v>
      </c>
    </row>
    <row r="86">
      <c r="A86" s="33">
        <v>6.0</v>
      </c>
      <c r="B86" s="39">
        <v>2.0</v>
      </c>
      <c r="C86" s="35">
        <v>0.0</v>
      </c>
      <c r="D86" s="35">
        <v>0.0</v>
      </c>
      <c r="E86" s="35">
        <v>0.0</v>
      </c>
      <c r="F86" s="35">
        <v>0.0</v>
      </c>
      <c r="G86" s="35">
        <v>10.0</v>
      </c>
      <c r="H86" s="35">
        <v>5.0</v>
      </c>
      <c r="I86" s="35">
        <v>1.0</v>
      </c>
      <c r="J86" s="35">
        <v>96.0</v>
      </c>
      <c r="K86" s="35">
        <v>3.0</v>
      </c>
      <c r="L86" s="35">
        <v>3.0</v>
      </c>
      <c r="M86" s="35">
        <v>44.0</v>
      </c>
      <c r="N86" s="35">
        <v>0.0</v>
      </c>
      <c r="O86" s="35">
        <v>0.0</v>
      </c>
      <c r="P86" s="35">
        <v>0.0</v>
      </c>
      <c r="Q86" s="35">
        <v>1.0</v>
      </c>
      <c r="R86" s="35">
        <v>80.0</v>
      </c>
      <c r="S86" s="35">
        <v>80.0</v>
      </c>
      <c r="T86" s="35">
        <v>0.0</v>
      </c>
      <c r="U86" s="35">
        <v>0.0</v>
      </c>
      <c r="V86" s="35">
        <f t="shared" ref="V86:W86" si="96">Q86+T86</f>
        <v>1</v>
      </c>
      <c r="W86" s="35">
        <f t="shared" si="96"/>
        <v>80</v>
      </c>
      <c r="X86" s="45">
        <f t="shared" ref="X86:X87" si="98">sum(G86:H86)-I86</f>
        <v>14</v>
      </c>
      <c r="Y86" s="45">
        <f t="shared" ref="Y86:Y87" si="99">sum(G86:H86)-I86</f>
        <v>14</v>
      </c>
      <c r="Z86" s="45">
        <v>0.0</v>
      </c>
      <c r="AA86" s="45">
        <v>0.0</v>
      </c>
      <c r="AB86" s="45">
        <v>0.0</v>
      </c>
      <c r="AC86" s="45">
        <v>0.0</v>
      </c>
      <c r="AD86" s="45">
        <v>0.0</v>
      </c>
      <c r="AE86" s="45">
        <v>0.0</v>
      </c>
    </row>
    <row r="87">
      <c r="A87" s="33">
        <v>7.0</v>
      </c>
      <c r="B87" s="39">
        <v>2.0</v>
      </c>
      <c r="C87" s="35">
        <v>0.0</v>
      </c>
      <c r="D87" s="35">
        <v>2.0</v>
      </c>
      <c r="E87" s="35">
        <v>0.0</v>
      </c>
      <c r="F87" s="35">
        <v>0.0</v>
      </c>
      <c r="G87" s="35">
        <v>17.0</v>
      </c>
      <c r="H87" s="35">
        <v>6.0</v>
      </c>
      <c r="I87" s="35">
        <v>2.0</v>
      </c>
      <c r="J87" s="35">
        <v>142.0</v>
      </c>
      <c r="K87" s="35">
        <v>2.0</v>
      </c>
      <c r="L87" s="35">
        <v>2.0</v>
      </c>
      <c r="M87" s="35">
        <v>75.0</v>
      </c>
      <c r="N87" s="35">
        <v>0.0</v>
      </c>
      <c r="O87" s="35">
        <v>0.0</v>
      </c>
      <c r="P87" s="35">
        <v>0.0</v>
      </c>
      <c r="Q87" s="35">
        <v>0.0</v>
      </c>
      <c r="R87" s="35">
        <v>0.0</v>
      </c>
      <c r="S87" s="35">
        <v>0.0</v>
      </c>
      <c r="T87" s="35">
        <v>1.0</v>
      </c>
      <c r="U87" s="35">
        <v>20.0</v>
      </c>
      <c r="V87" s="35">
        <f t="shared" ref="V87:W87" si="97">Q87+T87</f>
        <v>1</v>
      </c>
      <c r="W87" s="35">
        <f t="shared" si="97"/>
        <v>20</v>
      </c>
      <c r="X87" s="45">
        <f t="shared" si="98"/>
        <v>21</v>
      </c>
      <c r="Y87" s="45">
        <f t="shared" si="99"/>
        <v>21</v>
      </c>
      <c r="Z87" s="45">
        <v>2.0</v>
      </c>
      <c r="AA87" s="45">
        <v>2.0</v>
      </c>
      <c r="AB87" s="45">
        <v>0.0</v>
      </c>
      <c r="AC87" s="45">
        <v>0.0</v>
      </c>
      <c r="AD87" s="45">
        <v>0.0</v>
      </c>
      <c r="AE87" s="45">
        <v>0.0</v>
      </c>
    </row>
    <row r="88">
      <c r="A88" s="33">
        <v>8.0</v>
      </c>
      <c r="B88" s="39">
        <v>2.0</v>
      </c>
      <c r="C88" s="35">
        <v>0.0</v>
      </c>
      <c r="D88" s="35">
        <v>1.0</v>
      </c>
      <c r="E88" s="35">
        <v>0.0</v>
      </c>
      <c r="F88" s="35">
        <v>0.0</v>
      </c>
      <c r="G88" s="35">
        <v>3.0</v>
      </c>
      <c r="H88" s="35">
        <v>3.0</v>
      </c>
      <c r="I88" s="35">
        <v>0.0</v>
      </c>
      <c r="J88" s="35">
        <v>27.0</v>
      </c>
      <c r="K88" s="35">
        <v>0.0</v>
      </c>
      <c r="L88" s="35">
        <v>0.0</v>
      </c>
      <c r="M88" s="35">
        <v>0.0</v>
      </c>
      <c r="N88" s="35">
        <v>0.0</v>
      </c>
      <c r="O88" s="35">
        <v>0.0</v>
      </c>
      <c r="P88" s="35">
        <v>0.0</v>
      </c>
      <c r="Q88" s="35">
        <v>1.0</v>
      </c>
      <c r="R88" s="35">
        <v>900.0</v>
      </c>
      <c r="S88" s="35">
        <v>900.0</v>
      </c>
      <c r="T88" s="35">
        <v>2.0</v>
      </c>
      <c r="U88" s="35">
        <v>185.0</v>
      </c>
      <c r="V88" s="35">
        <f t="shared" ref="V88:W88" si="100">Q88+T88</f>
        <v>3</v>
      </c>
      <c r="W88" s="35">
        <f t="shared" si="100"/>
        <v>1085</v>
      </c>
      <c r="X88" s="45">
        <f t="shared" ref="X88:X92" si="102">sum(G88:H88)</f>
        <v>6</v>
      </c>
      <c r="Y88" s="45">
        <f t="shared" ref="Y88:Y92" si="103">sum(G88:H88)</f>
        <v>6</v>
      </c>
      <c r="Z88" s="45">
        <v>3.0</v>
      </c>
      <c r="AA88" s="45">
        <v>3.0</v>
      </c>
      <c r="AB88" s="45">
        <v>0.0</v>
      </c>
      <c r="AC88" s="45">
        <v>0.0</v>
      </c>
      <c r="AD88" s="45">
        <v>0.0</v>
      </c>
      <c r="AE88" s="45">
        <v>0.0</v>
      </c>
    </row>
    <row r="89">
      <c r="A89" s="33">
        <v>9.0</v>
      </c>
      <c r="B89" s="39">
        <v>2.0</v>
      </c>
      <c r="C89" s="35">
        <v>0.0</v>
      </c>
      <c r="D89" s="35">
        <v>1.0</v>
      </c>
      <c r="E89" s="35">
        <v>0.0</v>
      </c>
      <c r="F89" s="35">
        <v>0.0</v>
      </c>
      <c r="G89" s="35">
        <v>0.0</v>
      </c>
      <c r="H89" s="35">
        <v>0.0</v>
      </c>
      <c r="I89" s="35">
        <v>0.0</v>
      </c>
      <c r="J89" s="35">
        <v>0.0</v>
      </c>
      <c r="K89" s="35">
        <v>0.0</v>
      </c>
      <c r="L89" s="35">
        <v>0.0</v>
      </c>
      <c r="M89" s="35">
        <v>0.0</v>
      </c>
      <c r="N89" s="35">
        <v>0.0</v>
      </c>
      <c r="O89" s="35">
        <v>0.0</v>
      </c>
      <c r="P89" s="35">
        <v>0.0</v>
      </c>
      <c r="Q89" s="35">
        <v>0.0</v>
      </c>
      <c r="R89" s="35">
        <v>0.0</v>
      </c>
      <c r="S89" s="35">
        <v>0.0</v>
      </c>
      <c r="T89" s="35">
        <v>0.0</v>
      </c>
      <c r="U89" s="35">
        <v>0.0</v>
      </c>
      <c r="V89" s="35">
        <f t="shared" ref="V89:W89" si="101">Q89+T89</f>
        <v>0</v>
      </c>
      <c r="W89" s="35">
        <f t="shared" si="101"/>
        <v>0</v>
      </c>
      <c r="X89" s="45">
        <f t="shared" si="102"/>
        <v>0</v>
      </c>
      <c r="Y89" s="45">
        <f t="shared" si="103"/>
        <v>0</v>
      </c>
      <c r="Z89" s="45">
        <v>0.0</v>
      </c>
      <c r="AA89" s="45">
        <v>0.0</v>
      </c>
      <c r="AB89" s="45">
        <v>0.0</v>
      </c>
      <c r="AC89" s="45">
        <v>0.0</v>
      </c>
      <c r="AD89" s="45">
        <v>0.0</v>
      </c>
      <c r="AE89" s="45">
        <v>0.0</v>
      </c>
    </row>
    <row r="90">
      <c r="A90" s="33">
        <v>10.0</v>
      </c>
      <c r="B90" s="39">
        <v>2.0</v>
      </c>
      <c r="C90" s="35">
        <v>0.0</v>
      </c>
      <c r="D90" s="35">
        <v>1.0</v>
      </c>
      <c r="E90" s="35">
        <v>0.0</v>
      </c>
      <c r="F90" s="35">
        <v>0.0</v>
      </c>
      <c r="G90" s="35">
        <v>2.0</v>
      </c>
      <c r="H90" s="35">
        <v>1.0</v>
      </c>
      <c r="I90" s="35">
        <v>0.0</v>
      </c>
      <c r="J90" s="35">
        <v>23.0</v>
      </c>
      <c r="K90" s="35">
        <v>0.0</v>
      </c>
      <c r="L90" s="35">
        <v>0.0</v>
      </c>
      <c r="M90" s="35">
        <v>0.0</v>
      </c>
      <c r="N90" s="35">
        <v>0.0</v>
      </c>
      <c r="O90" s="35">
        <v>0.0</v>
      </c>
      <c r="P90" s="35">
        <v>2.0</v>
      </c>
      <c r="Q90" s="35">
        <v>1.0</v>
      </c>
      <c r="R90" s="35">
        <v>400.0</v>
      </c>
      <c r="S90" s="35">
        <v>400.0</v>
      </c>
      <c r="T90" s="35">
        <v>0.0</v>
      </c>
      <c r="U90" s="35">
        <v>0.0</v>
      </c>
      <c r="V90" s="35">
        <f t="shared" ref="V90:W90" si="104">Q90+T90</f>
        <v>1</v>
      </c>
      <c r="W90" s="35">
        <f t="shared" si="104"/>
        <v>400</v>
      </c>
      <c r="X90" s="45">
        <f t="shared" si="102"/>
        <v>3</v>
      </c>
      <c r="Y90" s="45">
        <f t="shared" si="103"/>
        <v>3</v>
      </c>
      <c r="Z90" s="45">
        <v>0.0</v>
      </c>
      <c r="AA90" s="45">
        <v>0.0</v>
      </c>
      <c r="AB90" s="45">
        <v>0.0</v>
      </c>
      <c r="AC90" s="45">
        <v>0.0</v>
      </c>
      <c r="AD90" s="45">
        <v>0.0</v>
      </c>
      <c r="AE90" s="45">
        <v>0.0</v>
      </c>
    </row>
    <row r="91">
      <c r="A91" s="33">
        <v>11.0</v>
      </c>
      <c r="B91" s="39">
        <v>2.0</v>
      </c>
      <c r="C91" s="35">
        <v>0.0</v>
      </c>
      <c r="D91" s="35">
        <v>1.0</v>
      </c>
      <c r="E91" s="35">
        <v>0.0</v>
      </c>
      <c r="F91" s="35">
        <v>0.0</v>
      </c>
      <c r="G91" s="35">
        <v>5.0</v>
      </c>
      <c r="H91" s="35">
        <v>3.0</v>
      </c>
      <c r="I91" s="35">
        <v>0.0</v>
      </c>
      <c r="J91" s="35">
        <v>42.0</v>
      </c>
      <c r="K91" s="35">
        <v>0.0</v>
      </c>
      <c r="L91" s="35">
        <v>0.0</v>
      </c>
      <c r="M91" s="35">
        <v>0.0</v>
      </c>
      <c r="N91" s="35">
        <v>0.0</v>
      </c>
      <c r="O91" s="35">
        <v>0.0</v>
      </c>
      <c r="P91" s="35">
        <v>2.0</v>
      </c>
      <c r="Q91" s="35">
        <v>1.0</v>
      </c>
      <c r="R91" s="35">
        <v>1085.0</v>
      </c>
      <c r="S91" s="35">
        <v>1085.0</v>
      </c>
      <c r="T91" s="35">
        <v>0.0</v>
      </c>
      <c r="U91" s="35">
        <v>0.0</v>
      </c>
      <c r="V91" s="35">
        <f t="shared" ref="V91:W91" si="105">Q91+T91</f>
        <v>1</v>
      </c>
      <c r="W91" s="35">
        <f t="shared" si="105"/>
        <v>1085</v>
      </c>
      <c r="X91" s="45">
        <f t="shared" si="102"/>
        <v>8</v>
      </c>
      <c r="Y91" s="45">
        <f t="shared" si="103"/>
        <v>8</v>
      </c>
      <c r="Z91" s="45">
        <v>0.0</v>
      </c>
      <c r="AA91" s="45">
        <v>0.0</v>
      </c>
      <c r="AB91" s="45">
        <v>0.0</v>
      </c>
      <c r="AC91" s="45">
        <v>0.0</v>
      </c>
      <c r="AD91" s="45">
        <v>0.0</v>
      </c>
      <c r="AE91" s="45">
        <v>0.0</v>
      </c>
    </row>
    <row r="92">
      <c r="A92" s="33">
        <v>12.0</v>
      </c>
      <c r="B92" s="39">
        <v>2.0</v>
      </c>
      <c r="C92" s="35">
        <v>0.0</v>
      </c>
      <c r="D92" s="35">
        <v>0.0</v>
      </c>
      <c r="E92" s="35">
        <v>0.0</v>
      </c>
      <c r="F92" s="35">
        <v>0.0</v>
      </c>
      <c r="G92" s="35">
        <v>1.0</v>
      </c>
      <c r="H92" s="35">
        <v>0.0</v>
      </c>
      <c r="I92" s="35">
        <v>0.0</v>
      </c>
      <c r="J92" s="35">
        <v>6.0</v>
      </c>
      <c r="K92" s="35">
        <v>0.0</v>
      </c>
      <c r="L92" s="35">
        <v>0.0</v>
      </c>
      <c r="M92" s="35">
        <v>0.0</v>
      </c>
      <c r="N92" s="35">
        <v>0.0</v>
      </c>
      <c r="O92" s="35">
        <v>0.0</v>
      </c>
      <c r="P92" s="35">
        <v>1.0</v>
      </c>
      <c r="Q92" s="35">
        <v>0.0</v>
      </c>
      <c r="R92" s="35">
        <v>0.0</v>
      </c>
      <c r="S92" s="35">
        <v>0.0</v>
      </c>
      <c r="T92" s="35">
        <v>0.0</v>
      </c>
      <c r="U92" s="35">
        <v>0.0</v>
      </c>
      <c r="V92" s="35">
        <f t="shared" ref="V92:W92" si="106">Q92+T92</f>
        <v>0</v>
      </c>
      <c r="W92" s="35">
        <f t="shared" si="106"/>
        <v>0</v>
      </c>
      <c r="X92" s="45">
        <f t="shared" si="102"/>
        <v>1</v>
      </c>
      <c r="Y92" s="45">
        <f t="shared" si="103"/>
        <v>1</v>
      </c>
      <c r="Z92" s="45">
        <v>0.0</v>
      </c>
      <c r="AA92" s="45">
        <v>0.0</v>
      </c>
      <c r="AB92" s="45">
        <v>0.0</v>
      </c>
      <c r="AC92" s="45">
        <v>0.0</v>
      </c>
      <c r="AD92" s="45">
        <v>0.0</v>
      </c>
      <c r="AE92" s="45">
        <v>0.0</v>
      </c>
    </row>
    <row r="93">
      <c r="A93" s="33">
        <v>13.0</v>
      </c>
      <c r="B93" s="39">
        <v>2.0</v>
      </c>
      <c r="C93" s="35">
        <v>0.0</v>
      </c>
      <c r="D93" s="35">
        <v>0.0</v>
      </c>
      <c r="E93" s="35">
        <v>0.0</v>
      </c>
      <c r="F93" s="35">
        <v>0.0</v>
      </c>
      <c r="G93" s="35">
        <v>0.0</v>
      </c>
      <c r="H93" s="35">
        <v>2.0</v>
      </c>
      <c r="I93" s="35">
        <v>0.0</v>
      </c>
      <c r="J93" s="35">
        <v>10.0</v>
      </c>
      <c r="K93" s="35">
        <v>0.0</v>
      </c>
      <c r="L93" s="35">
        <v>0.0</v>
      </c>
      <c r="M93" s="35">
        <v>0.0</v>
      </c>
      <c r="N93" s="35">
        <v>0.0</v>
      </c>
      <c r="O93" s="35">
        <v>0.0</v>
      </c>
      <c r="P93" s="35">
        <v>0.0</v>
      </c>
      <c r="Q93" s="35">
        <v>2.0</v>
      </c>
      <c r="R93" s="35">
        <v>214.0</v>
      </c>
      <c r="S93" s="35">
        <v>214.0</v>
      </c>
      <c r="T93" s="35">
        <v>0.0</v>
      </c>
      <c r="U93" s="35">
        <v>0.0</v>
      </c>
      <c r="V93" s="35">
        <f t="shared" ref="V93:W93" si="107">Q93+T93</f>
        <v>2</v>
      </c>
      <c r="W93" s="35">
        <f t="shared" si="107"/>
        <v>214</v>
      </c>
      <c r="X93" s="35">
        <v>2.0</v>
      </c>
      <c r="Y93" s="35">
        <v>2.0</v>
      </c>
      <c r="Z93" s="35">
        <v>0.0</v>
      </c>
      <c r="AA93" s="35">
        <v>0.0</v>
      </c>
      <c r="AB93" s="35">
        <v>0.0</v>
      </c>
      <c r="AC93" s="35">
        <v>0.0</v>
      </c>
      <c r="AD93" s="35">
        <v>0.0</v>
      </c>
      <c r="AE93" s="35">
        <v>0.0</v>
      </c>
    </row>
    <row r="94">
      <c r="A94" s="33">
        <v>14.0</v>
      </c>
      <c r="B94" s="39">
        <v>2.0</v>
      </c>
      <c r="C94" s="35">
        <v>0.0</v>
      </c>
      <c r="D94" s="35">
        <v>0.0</v>
      </c>
      <c r="E94" s="35">
        <v>0.0</v>
      </c>
      <c r="F94" s="35">
        <v>0.0</v>
      </c>
      <c r="G94" s="35">
        <v>0.0</v>
      </c>
      <c r="H94" s="35">
        <v>0.0</v>
      </c>
      <c r="I94" s="35">
        <v>0.0</v>
      </c>
      <c r="J94" s="35">
        <v>0.0</v>
      </c>
      <c r="K94" s="35">
        <v>0.0</v>
      </c>
      <c r="L94" s="35">
        <v>0.0</v>
      </c>
      <c r="M94" s="35">
        <v>0.0</v>
      </c>
      <c r="N94" s="35">
        <v>0.0</v>
      </c>
      <c r="O94" s="35">
        <v>0.0</v>
      </c>
      <c r="P94" s="35">
        <v>0.0</v>
      </c>
      <c r="Q94" s="35">
        <v>1.0</v>
      </c>
      <c r="R94" s="35">
        <v>258.0</v>
      </c>
      <c r="S94" s="35">
        <v>258.0</v>
      </c>
      <c r="T94" s="35">
        <v>0.0</v>
      </c>
      <c r="U94" s="35">
        <v>0.0</v>
      </c>
      <c r="V94" s="35">
        <f t="shared" ref="V94:W94" si="108">Q94+T94</f>
        <v>1</v>
      </c>
      <c r="W94" s="35">
        <f t="shared" si="108"/>
        <v>258</v>
      </c>
      <c r="X94" s="45">
        <f t="shared" ref="X94:X101" si="110">sum(G94:H94)</f>
        <v>0</v>
      </c>
      <c r="Y94" s="45">
        <f t="shared" ref="Y94:Y101" si="111">sum(G94:H94)</f>
        <v>0</v>
      </c>
      <c r="Z94" s="35">
        <v>0.0</v>
      </c>
      <c r="AA94" s="35">
        <v>0.0</v>
      </c>
      <c r="AB94" s="35">
        <v>0.0</v>
      </c>
      <c r="AC94" s="35">
        <v>0.0</v>
      </c>
      <c r="AD94" s="35">
        <v>0.0</v>
      </c>
      <c r="AE94" s="35">
        <v>0.0</v>
      </c>
    </row>
    <row r="95">
      <c r="A95" s="33">
        <v>15.0</v>
      </c>
      <c r="B95" s="39">
        <v>2.0</v>
      </c>
      <c r="C95" s="35">
        <v>0.0</v>
      </c>
      <c r="D95" s="35">
        <v>3.0</v>
      </c>
      <c r="E95" s="35">
        <v>0.0</v>
      </c>
      <c r="F95" s="35">
        <v>0.0</v>
      </c>
      <c r="G95" s="35">
        <v>0.0</v>
      </c>
      <c r="H95" s="35">
        <v>0.0</v>
      </c>
      <c r="I95" s="35">
        <v>0.0</v>
      </c>
      <c r="J95" s="35">
        <v>0.0</v>
      </c>
      <c r="K95" s="35">
        <v>0.0</v>
      </c>
      <c r="L95" s="35">
        <v>0.0</v>
      </c>
      <c r="M95" s="35">
        <v>0.0</v>
      </c>
      <c r="N95" s="35">
        <v>0.0</v>
      </c>
      <c r="O95" s="35">
        <v>0.0</v>
      </c>
      <c r="P95" s="35">
        <v>0.0</v>
      </c>
      <c r="Q95" s="35">
        <v>0.0</v>
      </c>
      <c r="R95" s="35">
        <v>0.0</v>
      </c>
      <c r="S95" s="35">
        <v>0.0</v>
      </c>
      <c r="T95" s="35">
        <v>0.0</v>
      </c>
      <c r="U95" s="35">
        <v>0.0</v>
      </c>
      <c r="V95" s="35">
        <f t="shared" ref="V95:W95" si="109">Q95+T95</f>
        <v>0</v>
      </c>
      <c r="W95" s="35">
        <f t="shared" si="109"/>
        <v>0</v>
      </c>
      <c r="X95" s="45">
        <f t="shared" si="110"/>
        <v>0</v>
      </c>
      <c r="Y95" s="45">
        <f t="shared" si="111"/>
        <v>0</v>
      </c>
      <c r="Z95" s="35">
        <v>0.0</v>
      </c>
      <c r="AA95" s="35">
        <v>0.0</v>
      </c>
      <c r="AB95" s="35">
        <v>0.0</v>
      </c>
      <c r="AC95" s="35">
        <v>0.0</v>
      </c>
      <c r="AD95" s="35">
        <v>0.0</v>
      </c>
      <c r="AE95" s="35">
        <v>0.0</v>
      </c>
    </row>
    <row r="96">
      <c r="A96" s="33">
        <v>16.0</v>
      </c>
      <c r="B96" s="39">
        <v>2.0</v>
      </c>
      <c r="C96" s="35">
        <v>0.0</v>
      </c>
      <c r="D96" s="35">
        <v>1.0</v>
      </c>
      <c r="E96" s="35">
        <v>0.0</v>
      </c>
      <c r="F96" s="35">
        <v>0.0</v>
      </c>
      <c r="G96" s="35">
        <v>0.0</v>
      </c>
      <c r="H96" s="35">
        <v>0.0</v>
      </c>
      <c r="I96" s="35">
        <v>0.0</v>
      </c>
      <c r="J96" s="35">
        <v>0.0</v>
      </c>
      <c r="K96" s="35">
        <v>0.0</v>
      </c>
      <c r="L96" s="35">
        <v>0.0</v>
      </c>
      <c r="M96" s="35">
        <v>0.0</v>
      </c>
      <c r="N96" s="35">
        <v>0.0</v>
      </c>
      <c r="O96" s="35">
        <v>0.0</v>
      </c>
      <c r="P96" s="35">
        <v>0.0</v>
      </c>
      <c r="Q96" s="35">
        <v>0.0</v>
      </c>
      <c r="R96" s="35">
        <v>0.0</v>
      </c>
      <c r="S96" s="35">
        <v>0.0</v>
      </c>
      <c r="T96" s="35">
        <v>0.0</v>
      </c>
      <c r="U96" s="35">
        <v>0.0</v>
      </c>
      <c r="V96" s="35">
        <f t="shared" ref="V96:W96" si="112">Q96+T96</f>
        <v>0</v>
      </c>
      <c r="W96" s="35">
        <f t="shared" si="112"/>
        <v>0</v>
      </c>
      <c r="X96" s="45">
        <f t="shared" si="110"/>
        <v>0</v>
      </c>
      <c r="Y96" s="45">
        <f t="shared" si="111"/>
        <v>0</v>
      </c>
      <c r="Z96" s="35">
        <v>0.0</v>
      </c>
      <c r="AA96" s="35">
        <v>0.0</v>
      </c>
      <c r="AB96" s="35">
        <v>0.0</v>
      </c>
      <c r="AC96" s="35">
        <v>0.0</v>
      </c>
      <c r="AD96" s="35">
        <v>0.0</v>
      </c>
      <c r="AE96" s="35">
        <v>0.0</v>
      </c>
    </row>
    <row r="97">
      <c r="A97" s="33">
        <v>17.0</v>
      </c>
      <c r="B97" s="39">
        <v>2.0</v>
      </c>
      <c r="C97" s="35">
        <v>0.0</v>
      </c>
      <c r="D97" s="35">
        <v>1.0</v>
      </c>
      <c r="E97" s="35">
        <v>0.0</v>
      </c>
      <c r="F97" s="35">
        <v>0.0</v>
      </c>
      <c r="G97" s="35">
        <v>0.0</v>
      </c>
      <c r="H97" s="35">
        <v>0.0</v>
      </c>
      <c r="I97" s="35">
        <v>0.0</v>
      </c>
      <c r="J97" s="35">
        <v>0.0</v>
      </c>
      <c r="K97" s="35">
        <v>0.0</v>
      </c>
      <c r="L97" s="35">
        <v>0.0</v>
      </c>
      <c r="M97" s="35">
        <v>0.0</v>
      </c>
      <c r="N97" s="35">
        <v>0.0</v>
      </c>
      <c r="O97" s="35">
        <v>0.0</v>
      </c>
      <c r="P97" s="35">
        <v>0.0</v>
      </c>
      <c r="Q97" s="35">
        <v>0.0</v>
      </c>
      <c r="R97" s="35">
        <v>0.0</v>
      </c>
      <c r="S97" s="35">
        <v>0.0</v>
      </c>
      <c r="T97" s="35">
        <v>0.0</v>
      </c>
      <c r="U97" s="35">
        <v>0.0</v>
      </c>
      <c r="V97" s="35">
        <f t="shared" ref="V97:W97" si="113">Q97+T97</f>
        <v>0</v>
      </c>
      <c r="W97" s="35">
        <f t="shared" si="113"/>
        <v>0</v>
      </c>
      <c r="X97" s="45">
        <f t="shared" si="110"/>
        <v>0</v>
      </c>
      <c r="Y97" s="45">
        <f t="shared" si="111"/>
        <v>0</v>
      </c>
      <c r="Z97" s="35">
        <v>0.0</v>
      </c>
      <c r="AA97" s="35">
        <v>0.0</v>
      </c>
      <c r="AB97" s="35">
        <v>0.0</v>
      </c>
      <c r="AC97" s="35">
        <v>0.0</v>
      </c>
      <c r="AD97" s="35">
        <v>0.0</v>
      </c>
      <c r="AE97" s="35">
        <v>0.0</v>
      </c>
    </row>
    <row r="98">
      <c r="A98" s="33">
        <v>18.0</v>
      </c>
      <c r="B98" s="39">
        <v>2.0</v>
      </c>
      <c r="C98" s="35">
        <v>0.0</v>
      </c>
      <c r="D98" s="35">
        <v>0.0</v>
      </c>
      <c r="E98" s="35">
        <v>0.0</v>
      </c>
      <c r="F98" s="35">
        <v>0.0</v>
      </c>
      <c r="G98" s="35">
        <v>0.0</v>
      </c>
      <c r="H98" s="35">
        <v>0.0</v>
      </c>
      <c r="I98" s="35">
        <v>0.0</v>
      </c>
      <c r="J98" s="35">
        <v>0.0</v>
      </c>
      <c r="K98" s="35">
        <v>0.0</v>
      </c>
      <c r="L98" s="35">
        <v>0.0</v>
      </c>
      <c r="M98" s="35">
        <v>0.0</v>
      </c>
      <c r="N98" s="35">
        <v>0.0</v>
      </c>
      <c r="O98" s="35">
        <v>0.0</v>
      </c>
      <c r="P98" s="35">
        <v>0.0</v>
      </c>
      <c r="Q98" s="35">
        <v>0.0</v>
      </c>
      <c r="R98" s="35">
        <v>0.0</v>
      </c>
      <c r="S98" s="35">
        <v>0.0</v>
      </c>
      <c r="T98" s="35">
        <v>0.0</v>
      </c>
      <c r="U98" s="35">
        <v>0.0</v>
      </c>
      <c r="V98" s="35">
        <f t="shared" ref="V98:W98" si="114">Q98+T98</f>
        <v>0</v>
      </c>
      <c r="W98" s="35">
        <f t="shared" si="114"/>
        <v>0</v>
      </c>
      <c r="X98" s="45">
        <f t="shared" si="110"/>
        <v>0</v>
      </c>
      <c r="Y98" s="45">
        <f t="shared" si="111"/>
        <v>0</v>
      </c>
      <c r="Z98" s="35">
        <v>0.0</v>
      </c>
      <c r="AA98" s="35">
        <v>0.0</v>
      </c>
      <c r="AB98" s="35">
        <v>0.0</v>
      </c>
      <c r="AC98" s="35">
        <v>0.0</v>
      </c>
      <c r="AD98" s="35">
        <v>0.0</v>
      </c>
      <c r="AE98" s="35">
        <v>0.0</v>
      </c>
    </row>
    <row r="99">
      <c r="A99" s="33">
        <v>19.0</v>
      </c>
      <c r="B99" s="39">
        <v>2.0</v>
      </c>
      <c r="C99" s="35">
        <v>0.0</v>
      </c>
      <c r="D99" s="35">
        <v>1.0</v>
      </c>
      <c r="E99" s="35">
        <v>0.0</v>
      </c>
      <c r="F99" s="35">
        <v>0.0</v>
      </c>
      <c r="G99" s="35">
        <v>0.0</v>
      </c>
      <c r="H99" s="35">
        <v>0.0</v>
      </c>
      <c r="I99" s="35">
        <v>0.0</v>
      </c>
      <c r="J99" s="35">
        <v>0.0</v>
      </c>
      <c r="K99" s="35">
        <v>0.0</v>
      </c>
      <c r="L99" s="35">
        <v>0.0</v>
      </c>
      <c r="M99" s="35">
        <v>0.0</v>
      </c>
      <c r="N99" s="35">
        <v>0.0</v>
      </c>
      <c r="O99" s="35">
        <v>0.0</v>
      </c>
      <c r="P99" s="35">
        <v>0.0</v>
      </c>
      <c r="Q99" s="35">
        <v>0.0</v>
      </c>
      <c r="R99" s="35">
        <v>0.0</v>
      </c>
      <c r="S99" s="35">
        <v>0.0</v>
      </c>
      <c r="T99" s="35">
        <v>0.0</v>
      </c>
      <c r="U99" s="35">
        <v>0.0</v>
      </c>
      <c r="V99" s="35">
        <f t="shared" ref="V99:W99" si="115">Q99+T99</f>
        <v>0</v>
      </c>
      <c r="W99" s="35">
        <f t="shared" si="115"/>
        <v>0</v>
      </c>
      <c r="X99" s="45">
        <f t="shared" si="110"/>
        <v>0</v>
      </c>
      <c r="Y99" s="45">
        <f t="shared" si="111"/>
        <v>0</v>
      </c>
      <c r="Z99" s="35">
        <v>0.0</v>
      </c>
      <c r="AA99" s="35">
        <v>0.0</v>
      </c>
      <c r="AB99" s="35">
        <v>0.0</v>
      </c>
      <c r="AC99" s="35">
        <v>0.0</v>
      </c>
      <c r="AD99" s="35">
        <v>0.0</v>
      </c>
      <c r="AE99" s="35">
        <v>0.0</v>
      </c>
    </row>
    <row r="100">
      <c r="A100" s="33">
        <v>20.0</v>
      </c>
      <c r="B100" s="39">
        <v>2.0</v>
      </c>
      <c r="C100" s="35">
        <v>0.0</v>
      </c>
      <c r="D100" s="35">
        <v>1.0</v>
      </c>
      <c r="E100" s="35">
        <v>0.0</v>
      </c>
      <c r="F100" s="35">
        <v>0.0</v>
      </c>
      <c r="G100" s="35">
        <v>0.0</v>
      </c>
      <c r="H100" s="35">
        <v>0.0</v>
      </c>
      <c r="I100" s="35">
        <v>0.0</v>
      </c>
      <c r="J100" s="35">
        <v>0.0</v>
      </c>
      <c r="K100" s="35">
        <v>0.0</v>
      </c>
      <c r="L100" s="35">
        <v>0.0</v>
      </c>
      <c r="M100" s="35">
        <v>0.0</v>
      </c>
      <c r="N100" s="35">
        <v>0.0</v>
      </c>
      <c r="O100" s="35">
        <v>0.0</v>
      </c>
      <c r="P100" s="35">
        <v>0.0</v>
      </c>
      <c r="Q100" s="35">
        <v>0.0</v>
      </c>
      <c r="R100" s="35">
        <v>0.0</v>
      </c>
      <c r="S100" s="35">
        <v>0.0</v>
      </c>
      <c r="T100" s="35">
        <v>0.0</v>
      </c>
      <c r="U100" s="35">
        <v>0.0</v>
      </c>
      <c r="V100" s="35">
        <f t="shared" ref="V100:W100" si="116">Q100+T100</f>
        <v>0</v>
      </c>
      <c r="W100" s="35">
        <f t="shared" si="116"/>
        <v>0</v>
      </c>
      <c r="X100" s="45">
        <f t="shared" si="110"/>
        <v>0</v>
      </c>
      <c r="Y100" s="45">
        <f t="shared" si="111"/>
        <v>0</v>
      </c>
      <c r="Z100" s="35">
        <v>0.0</v>
      </c>
      <c r="AA100" s="35">
        <v>0.0</v>
      </c>
      <c r="AB100" s="35">
        <v>0.0</v>
      </c>
      <c r="AC100" s="35">
        <v>0.0</v>
      </c>
      <c r="AD100" s="35">
        <v>0.0</v>
      </c>
      <c r="AE100" s="35">
        <v>0.0</v>
      </c>
    </row>
    <row r="101">
      <c r="A101" s="33">
        <v>21.0</v>
      </c>
      <c r="B101" s="39">
        <v>2.0</v>
      </c>
      <c r="C101" s="35">
        <v>1.0</v>
      </c>
      <c r="D101" s="35">
        <v>0.0</v>
      </c>
      <c r="E101" s="35">
        <v>0.0</v>
      </c>
      <c r="F101" s="35">
        <v>0.0</v>
      </c>
      <c r="G101" s="35">
        <v>0.0</v>
      </c>
      <c r="H101" s="35">
        <v>0.0</v>
      </c>
      <c r="I101" s="35">
        <v>0.0</v>
      </c>
      <c r="J101" s="35">
        <v>0.0</v>
      </c>
      <c r="K101" s="35">
        <v>0.0</v>
      </c>
      <c r="L101" s="35">
        <v>0.0</v>
      </c>
      <c r="M101" s="35">
        <v>0.0</v>
      </c>
      <c r="N101" s="35">
        <v>0.0</v>
      </c>
      <c r="O101" s="35">
        <v>0.0</v>
      </c>
      <c r="P101" s="35">
        <v>0.0</v>
      </c>
      <c r="Q101" s="35">
        <v>0.0</v>
      </c>
      <c r="R101" s="35">
        <v>0.0</v>
      </c>
      <c r="S101" s="35">
        <v>0.0</v>
      </c>
      <c r="T101" s="35">
        <v>0.0</v>
      </c>
      <c r="U101" s="35">
        <v>0.0</v>
      </c>
      <c r="V101" s="35">
        <f t="shared" ref="V101:W101" si="117">Q101+T101</f>
        <v>0</v>
      </c>
      <c r="W101" s="35">
        <f t="shared" si="117"/>
        <v>0</v>
      </c>
      <c r="X101" s="45">
        <f t="shared" si="110"/>
        <v>0</v>
      </c>
      <c r="Y101" s="45">
        <f t="shared" si="111"/>
        <v>0</v>
      </c>
      <c r="Z101" s="35">
        <v>0.0</v>
      </c>
      <c r="AA101" s="35">
        <v>0.0</v>
      </c>
      <c r="AB101" s="35">
        <v>0.0</v>
      </c>
      <c r="AC101" s="35">
        <v>0.0</v>
      </c>
      <c r="AD101" s="35">
        <v>0.0</v>
      </c>
      <c r="AE101" s="35">
        <v>0.0</v>
      </c>
    </row>
    <row r="102">
      <c r="A102" s="33">
        <v>22.0</v>
      </c>
      <c r="B102" s="39">
        <v>2.0</v>
      </c>
      <c r="C102" s="35">
        <v>0.0</v>
      </c>
      <c r="D102" s="35">
        <v>0.0</v>
      </c>
      <c r="E102" s="35">
        <v>0.0</v>
      </c>
      <c r="F102" s="35">
        <v>0.0</v>
      </c>
      <c r="G102" s="35">
        <v>0.0</v>
      </c>
      <c r="H102" s="35">
        <v>0.0</v>
      </c>
      <c r="I102" s="35">
        <v>0.0</v>
      </c>
      <c r="J102" s="35">
        <v>0.0</v>
      </c>
      <c r="K102" s="35">
        <v>0.0</v>
      </c>
      <c r="L102" s="35">
        <v>0.0</v>
      </c>
      <c r="M102" s="35">
        <v>0.0</v>
      </c>
      <c r="N102" s="35">
        <v>0.0</v>
      </c>
      <c r="O102" s="35">
        <v>0.0</v>
      </c>
      <c r="P102" s="35">
        <v>0.0</v>
      </c>
      <c r="Q102" s="35">
        <v>0.0</v>
      </c>
      <c r="R102" s="35">
        <v>0.0</v>
      </c>
      <c r="S102" s="35">
        <v>0.0</v>
      </c>
      <c r="T102" s="35">
        <v>0.0</v>
      </c>
      <c r="U102" s="35">
        <v>0.0</v>
      </c>
      <c r="V102" s="35">
        <v>0.0</v>
      </c>
      <c r="W102" s="35">
        <v>0.0</v>
      </c>
      <c r="X102" s="35">
        <v>0.0</v>
      </c>
      <c r="Y102" s="35">
        <v>0.0</v>
      </c>
      <c r="Z102" s="35">
        <v>0.0</v>
      </c>
      <c r="AA102" s="35">
        <v>0.0</v>
      </c>
      <c r="AB102" s="35">
        <v>0.0</v>
      </c>
      <c r="AC102" s="35">
        <v>0.0</v>
      </c>
      <c r="AD102" s="35">
        <v>0.0</v>
      </c>
      <c r="AE102" s="35">
        <v>0.0</v>
      </c>
    </row>
    <row r="103">
      <c r="A103" s="33">
        <v>23.0</v>
      </c>
      <c r="B103" s="39">
        <v>2.0</v>
      </c>
      <c r="C103" s="35">
        <v>0.0</v>
      </c>
      <c r="D103" s="35">
        <v>0.0</v>
      </c>
      <c r="E103" s="35">
        <v>0.0</v>
      </c>
      <c r="F103" s="35">
        <v>0.0</v>
      </c>
      <c r="G103" s="35">
        <v>0.0</v>
      </c>
      <c r="H103" s="35">
        <v>2.0</v>
      </c>
      <c r="I103" s="35">
        <v>0.0</v>
      </c>
      <c r="J103" s="35">
        <v>8.0</v>
      </c>
      <c r="K103" s="35">
        <v>0.0</v>
      </c>
      <c r="L103" s="35">
        <v>0.0</v>
      </c>
      <c r="M103" s="35">
        <v>0.0</v>
      </c>
      <c r="N103" s="35">
        <v>0.0</v>
      </c>
      <c r="O103" s="35">
        <v>0.0</v>
      </c>
      <c r="P103" s="35">
        <v>0.0</v>
      </c>
      <c r="Q103" s="35">
        <v>0.0</v>
      </c>
      <c r="R103" s="35">
        <v>0.0</v>
      </c>
      <c r="S103" s="35">
        <v>0.0</v>
      </c>
      <c r="T103" s="35">
        <v>0.0</v>
      </c>
      <c r="U103" s="35">
        <v>0.0</v>
      </c>
      <c r="V103" s="35">
        <v>0.0</v>
      </c>
      <c r="W103" s="35">
        <v>0.0</v>
      </c>
      <c r="X103" s="35">
        <v>0.0</v>
      </c>
      <c r="Y103" s="35">
        <v>0.0</v>
      </c>
      <c r="Z103" s="35">
        <v>0.0</v>
      </c>
      <c r="AA103" s="35">
        <v>0.0</v>
      </c>
      <c r="AB103" s="35">
        <v>0.0</v>
      </c>
      <c r="AC103" s="35">
        <v>0.0</v>
      </c>
      <c r="AD103" s="35">
        <v>0.0</v>
      </c>
      <c r="AE103" s="35">
        <v>0.0</v>
      </c>
    </row>
    <row r="104">
      <c r="A104" s="33">
        <v>24.0</v>
      </c>
      <c r="B104" s="39">
        <v>2.0</v>
      </c>
      <c r="C104" s="35">
        <v>0.0</v>
      </c>
      <c r="D104" s="35">
        <v>1.0</v>
      </c>
      <c r="E104" s="35">
        <v>0.0</v>
      </c>
      <c r="F104" s="35">
        <v>0.0</v>
      </c>
      <c r="G104" s="35">
        <v>0.0</v>
      </c>
      <c r="H104" s="35">
        <v>0.0</v>
      </c>
      <c r="I104" s="35">
        <v>0.0</v>
      </c>
      <c r="J104" s="35">
        <v>0.0</v>
      </c>
      <c r="K104" s="35">
        <v>0.0</v>
      </c>
      <c r="L104" s="35">
        <v>0.0</v>
      </c>
      <c r="M104" s="35">
        <v>0.0</v>
      </c>
      <c r="N104" s="35">
        <v>0.0</v>
      </c>
      <c r="O104" s="35">
        <v>0.0</v>
      </c>
      <c r="P104" s="35">
        <v>0.0</v>
      </c>
      <c r="Q104" s="35">
        <v>0.0</v>
      </c>
      <c r="R104" s="35">
        <v>0.0</v>
      </c>
      <c r="S104" s="35">
        <v>0.0</v>
      </c>
      <c r="T104" s="35">
        <v>0.0</v>
      </c>
      <c r="U104" s="35">
        <v>0.0</v>
      </c>
      <c r="V104" s="35">
        <v>0.0</v>
      </c>
      <c r="W104" s="35">
        <v>0.0</v>
      </c>
      <c r="X104" s="35">
        <v>0.0</v>
      </c>
      <c r="Y104" s="35">
        <v>0.0</v>
      </c>
      <c r="Z104" s="35">
        <v>0.0</v>
      </c>
      <c r="AA104" s="35">
        <v>0.0</v>
      </c>
      <c r="AB104" s="35">
        <v>0.0</v>
      </c>
      <c r="AC104" s="35">
        <v>0.0</v>
      </c>
      <c r="AD104" s="35">
        <v>0.0</v>
      </c>
      <c r="AE104" s="35">
        <v>0.0</v>
      </c>
    </row>
    <row r="105">
      <c r="A105" s="33">
        <v>25.0</v>
      </c>
      <c r="B105" s="39">
        <v>2.0</v>
      </c>
      <c r="C105" s="35">
        <v>0.0</v>
      </c>
      <c r="D105" s="35">
        <v>1.0</v>
      </c>
      <c r="E105" s="35">
        <v>0.0</v>
      </c>
      <c r="F105" s="35">
        <v>0.0</v>
      </c>
      <c r="G105" s="35">
        <v>0.0</v>
      </c>
      <c r="H105" s="35">
        <v>0.0</v>
      </c>
      <c r="I105" s="35">
        <v>0.0</v>
      </c>
      <c r="J105" s="35">
        <v>0.0</v>
      </c>
      <c r="K105" s="35">
        <v>0.0</v>
      </c>
      <c r="L105" s="35">
        <v>0.0</v>
      </c>
      <c r="M105" s="35">
        <v>0.0</v>
      </c>
      <c r="N105" s="35">
        <v>0.0</v>
      </c>
      <c r="O105" s="35">
        <v>0.0</v>
      </c>
      <c r="P105" s="35">
        <v>0.0</v>
      </c>
      <c r="Q105" s="35">
        <v>0.0</v>
      </c>
      <c r="R105" s="35">
        <v>0.0</v>
      </c>
      <c r="S105" s="35">
        <v>0.0</v>
      </c>
      <c r="T105" s="35">
        <v>0.0</v>
      </c>
      <c r="U105" s="35">
        <v>0.0</v>
      </c>
      <c r="V105" s="35">
        <v>0.0</v>
      </c>
      <c r="W105" s="35">
        <v>0.0</v>
      </c>
      <c r="X105" s="35">
        <v>0.0</v>
      </c>
      <c r="Y105" s="35">
        <v>0.0</v>
      </c>
      <c r="Z105" s="35">
        <v>0.0</v>
      </c>
      <c r="AA105" s="35">
        <v>0.0</v>
      </c>
      <c r="AB105" s="35">
        <v>0.0</v>
      </c>
      <c r="AC105" s="35">
        <v>0.0</v>
      </c>
      <c r="AD105" s="35">
        <v>0.0</v>
      </c>
      <c r="AE105" s="35">
        <v>0.0</v>
      </c>
    </row>
    <row r="106">
      <c r="A106" s="33">
        <v>26.0</v>
      </c>
      <c r="B106" s="39">
        <v>2.0</v>
      </c>
      <c r="C106" s="35">
        <v>0.0</v>
      </c>
      <c r="D106" s="35">
        <v>0.0</v>
      </c>
      <c r="E106" s="35">
        <v>0.0</v>
      </c>
      <c r="F106" s="35">
        <v>0.0</v>
      </c>
      <c r="G106" s="35">
        <v>0.0</v>
      </c>
      <c r="H106" s="35">
        <v>0.0</v>
      </c>
      <c r="I106" s="35">
        <v>0.0</v>
      </c>
      <c r="J106" s="35">
        <v>0.0</v>
      </c>
      <c r="K106" s="35">
        <v>0.0</v>
      </c>
      <c r="L106" s="35">
        <v>0.0</v>
      </c>
      <c r="M106" s="35">
        <v>0.0</v>
      </c>
      <c r="N106" s="35">
        <v>0.0</v>
      </c>
      <c r="O106" s="35">
        <v>0.0</v>
      </c>
      <c r="P106" s="35">
        <v>0.0</v>
      </c>
      <c r="Q106" s="35">
        <v>0.0</v>
      </c>
      <c r="R106" s="35">
        <v>0.0</v>
      </c>
      <c r="S106" s="35">
        <v>0.0</v>
      </c>
      <c r="T106" s="35">
        <v>0.0</v>
      </c>
      <c r="U106" s="35">
        <v>0.0</v>
      </c>
      <c r="V106" s="35">
        <v>0.0</v>
      </c>
      <c r="W106" s="35">
        <v>0.0</v>
      </c>
      <c r="X106" s="35">
        <v>0.0</v>
      </c>
      <c r="Y106" s="35">
        <v>0.0</v>
      </c>
      <c r="Z106" s="35">
        <v>0.0</v>
      </c>
      <c r="AA106" s="35">
        <v>0.0</v>
      </c>
      <c r="AB106" s="35">
        <v>0.0</v>
      </c>
      <c r="AC106" s="35">
        <v>0.0</v>
      </c>
      <c r="AD106" s="35">
        <v>0.0</v>
      </c>
      <c r="AE106" s="35">
        <v>0.0</v>
      </c>
    </row>
    <row r="107">
      <c r="A107" s="33">
        <v>27.0</v>
      </c>
      <c r="B107" s="39">
        <v>2.0</v>
      </c>
      <c r="C107" s="35">
        <v>0.0</v>
      </c>
      <c r="D107" s="35">
        <v>2.0</v>
      </c>
      <c r="E107" s="35">
        <v>0.0</v>
      </c>
      <c r="F107" s="35">
        <v>0.0</v>
      </c>
      <c r="G107" s="35">
        <v>0.0</v>
      </c>
      <c r="H107" s="35">
        <v>0.0</v>
      </c>
      <c r="I107" s="35">
        <v>0.0</v>
      </c>
      <c r="J107" s="35">
        <v>0.0</v>
      </c>
      <c r="K107" s="35">
        <v>0.0</v>
      </c>
      <c r="L107" s="35">
        <v>0.0</v>
      </c>
      <c r="M107" s="35">
        <v>0.0</v>
      </c>
      <c r="N107" s="35">
        <v>0.0</v>
      </c>
      <c r="O107" s="35">
        <v>0.0</v>
      </c>
      <c r="P107" s="35">
        <v>0.0</v>
      </c>
      <c r="Q107" s="35">
        <v>0.0</v>
      </c>
      <c r="R107" s="35">
        <v>0.0</v>
      </c>
      <c r="S107" s="35">
        <v>0.0</v>
      </c>
      <c r="T107" s="35">
        <v>0.0</v>
      </c>
      <c r="U107" s="35">
        <v>0.0</v>
      </c>
      <c r="V107" s="35">
        <v>0.0</v>
      </c>
      <c r="W107" s="35">
        <v>0.0</v>
      </c>
      <c r="X107" s="35">
        <v>0.0</v>
      </c>
      <c r="Y107" s="35">
        <v>0.0</v>
      </c>
      <c r="Z107" s="35">
        <v>0.0</v>
      </c>
      <c r="AA107" s="35">
        <v>0.0</v>
      </c>
      <c r="AB107" s="35">
        <v>0.0</v>
      </c>
      <c r="AC107" s="35">
        <v>0.0</v>
      </c>
      <c r="AD107" s="35">
        <v>0.0</v>
      </c>
      <c r="AE107" s="35">
        <v>0.0</v>
      </c>
    </row>
    <row r="108">
      <c r="A108" s="33">
        <v>28.0</v>
      </c>
      <c r="B108" s="39">
        <v>2.0</v>
      </c>
      <c r="C108" s="35">
        <v>0.0</v>
      </c>
      <c r="D108" s="35">
        <v>0.0</v>
      </c>
      <c r="E108" s="35">
        <v>0.0</v>
      </c>
      <c r="F108" s="35">
        <v>0.0</v>
      </c>
      <c r="G108" s="35">
        <v>0.0</v>
      </c>
      <c r="H108" s="35">
        <v>0.0</v>
      </c>
      <c r="I108" s="35">
        <v>0.0</v>
      </c>
      <c r="J108" s="35">
        <v>0.0</v>
      </c>
      <c r="K108" s="35">
        <v>0.0</v>
      </c>
      <c r="L108" s="35">
        <v>0.0</v>
      </c>
      <c r="M108" s="35">
        <v>0.0</v>
      </c>
      <c r="N108" s="35">
        <v>0.0</v>
      </c>
      <c r="O108" s="35">
        <v>0.0</v>
      </c>
      <c r="P108" s="35">
        <v>0.0</v>
      </c>
      <c r="Q108" s="35">
        <v>0.0</v>
      </c>
      <c r="R108" s="35">
        <v>0.0</v>
      </c>
      <c r="S108" s="35">
        <v>0.0</v>
      </c>
      <c r="T108" s="35">
        <v>0.0</v>
      </c>
      <c r="U108" s="35">
        <v>0.0</v>
      </c>
      <c r="V108" s="35">
        <v>0.0</v>
      </c>
      <c r="W108" s="35">
        <v>0.0</v>
      </c>
      <c r="X108" s="35">
        <v>0.0</v>
      </c>
      <c r="Y108" s="35">
        <v>0.0</v>
      </c>
      <c r="Z108" s="35">
        <v>0.0</v>
      </c>
      <c r="AA108" s="35">
        <v>0.0</v>
      </c>
      <c r="AB108" s="35">
        <v>0.0</v>
      </c>
      <c r="AC108" s="35">
        <v>0.0</v>
      </c>
      <c r="AD108" s="35">
        <v>0.0</v>
      </c>
      <c r="AE108" s="35">
        <v>0.0</v>
      </c>
    </row>
    <row r="109">
      <c r="A109" s="48" t="s">
        <v>39</v>
      </c>
      <c r="C109" s="49">
        <f t="shared" ref="C109:AE109" si="118">sum(C94:C108)</f>
        <v>1</v>
      </c>
      <c r="D109" s="49">
        <f t="shared" si="118"/>
        <v>11</v>
      </c>
      <c r="E109" s="49">
        <f t="shared" si="118"/>
        <v>0</v>
      </c>
      <c r="F109" s="49">
        <f t="shared" si="118"/>
        <v>0</v>
      </c>
      <c r="G109" s="49">
        <f t="shared" si="118"/>
        <v>0</v>
      </c>
      <c r="H109" s="49">
        <f t="shared" si="118"/>
        <v>2</v>
      </c>
      <c r="I109" s="49">
        <f t="shared" si="118"/>
        <v>0</v>
      </c>
      <c r="J109" s="49">
        <f t="shared" si="118"/>
        <v>8</v>
      </c>
      <c r="K109" s="49">
        <f t="shared" si="118"/>
        <v>0</v>
      </c>
      <c r="L109" s="49">
        <f t="shared" si="118"/>
        <v>0</v>
      </c>
      <c r="M109" s="49">
        <f t="shared" si="118"/>
        <v>0</v>
      </c>
      <c r="N109" s="49">
        <f t="shared" si="118"/>
        <v>0</v>
      </c>
      <c r="O109" s="49">
        <f t="shared" si="118"/>
        <v>0</v>
      </c>
      <c r="P109" s="49">
        <f t="shared" si="118"/>
        <v>0</v>
      </c>
      <c r="Q109" s="49">
        <f t="shared" si="118"/>
        <v>1</v>
      </c>
      <c r="R109" s="49">
        <f t="shared" si="118"/>
        <v>258</v>
      </c>
      <c r="S109" s="49">
        <f t="shared" si="118"/>
        <v>258</v>
      </c>
      <c r="T109" s="49">
        <f t="shared" si="118"/>
        <v>0</v>
      </c>
      <c r="U109" s="49">
        <f t="shared" si="118"/>
        <v>0</v>
      </c>
      <c r="V109" s="49">
        <f t="shared" si="118"/>
        <v>1</v>
      </c>
      <c r="W109" s="49">
        <f t="shared" si="118"/>
        <v>258</v>
      </c>
      <c r="X109" s="49">
        <f t="shared" si="118"/>
        <v>0</v>
      </c>
      <c r="Y109" s="49">
        <f t="shared" si="118"/>
        <v>0</v>
      </c>
      <c r="Z109" s="49">
        <f t="shared" si="118"/>
        <v>0</v>
      </c>
      <c r="AA109" s="49">
        <f t="shared" si="118"/>
        <v>0</v>
      </c>
      <c r="AB109" s="49">
        <f t="shared" si="118"/>
        <v>0</v>
      </c>
      <c r="AC109" s="49">
        <f t="shared" si="118"/>
        <v>0</v>
      </c>
      <c r="AD109" s="49">
        <f t="shared" si="118"/>
        <v>0</v>
      </c>
      <c r="AE109" s="49">
        <f t="shared" si="118"/>
        <v>0</v>
      </c>
    </row>
  </sheetData>
  <mergeCells count="12">
    <mergeCell ref="X1:Y1"/>
    <mergeCell ref="Z1:AA1"/>
    <mergeCell ref="AB1:AC1"/>
    <mergeCell ref="AD1:AE1"/>
    <mergeCell ref="A1:A2"/>
    <mergeCell ref="B1:B2"/>
    <mergeCell ref="C1:F1"/>
    <mergeCell ref="G1:O1"/>
    <mergeCell ref="P1:S1"/>
    <mergeCell ref="T1:U1"/>
    <mergeCell ref="V1:W1"/>
    <mergeCell ref="A109:B109"/>
  </mergeCells>
  <conditionalFormatting sqref="C1:H108 J1:AE108 I64:I66 I81 I93 I102:I108">
    <cfRule type="cellIs" dxfId="0" priority="1" operator="greaterThan">
      <formula>0</formula>
    </cfRule>
  </conditionalFormatting>
  <conditionalFormatting sqref="I1:I108">
    <cfRule type="cellIs" dxfId="0" priority="2" operator="greater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88"/>
    <col customWidth="1" min="2" max="2" width="9.5"/>
    <col customWidth="1" min="3" max="3" width="12.75"/>
    <col customWidth="1" min="4" max="4" width="13.38"/>
    <col customWidth="1" min="5" max="6" width="8.38"/>
    <col customWidth="1" min="21" max="21" width="14.25"/>
    <col customWidth="1" min="34" max="34" width="18.5"/>
  </cols>
  <sheetData>
    <row r="1">
      <c r="A1" s="1" t="s">
        <v>0</v>
      </c>
      <c r="B1" s="1" t="s">
        <v>1</v>
      </c>
      <c r="C1" s="2" t="s">
        <v>2</v>
      </c>
      <c r="D1" s="3"/>
      <c r="E1" s="3"/>
      <c r="F1" s="4"/>
      <c r="G1" s="5" t="s">
        <v>3</v>
      </c>
      <c r="H1" s="3"/>
      <c r="I1" s="3"/>
      <c r="J1" s="3"/>
      <c r="K1" s="3"/>
      <c r="L1" s="3"/>
      <c r="M1" s="3"/>
      <c r="N1" s="3"/>
      <c r="O1" s="3"/>
      <c r="P1" s="4"/>
      <c r="Q1" s="6" t="s">
        <v>4</v>
      </c>
      <c r="R1" s="3"/>
      <c r="S1" s="3"/>
      <c r="T1" s="3"/>
      <c r="U1" s="4"/>
      <c r="V1" s="6" t="s">
        <v>5</v>
      </c>
      <c r="W1" s="3"/>
      <c r="X1" s="50" t="s">
        <v>36</v>
      </c>
      <c r="Y1" s="4"/>
      <c r="Z1" s="8" t="s">
        <v>6</v>
      </c>
      <c r="AA1" s="4"/>
      <c r="AB1" s="8" t="s">
        <v>7</v>
      </c>
      <c r="AC1" s="4"/>
      <c r="AD1" s="8" t="s">
        <v>8</v>
      </c>
      <c r="AE1" s="4"/>
      <c r="AF1" s="8" t="s">
        <v>9</v>
      </c>
      <c r="AG1" s="4"/>
      <c r="AH1" s="51" t="s">
        <v>40</v>
      </c>
    </row>
    <row r="2" ht="52.5" customHeight="1">
      <c r="A2" s="52"/>
      <c r="B2" s="52"/>
      <c r="C2" s="14" t="s">
        <v>41</v>
      </c>
      <c r="D2" s="14" t="s">
        <v>42</v>
      </c>
      <c r="E2" s="14" t="s">
        <v>43</v>
      </c>
      <c r="F2" s="1" t="s">
        <v>13</v>
      </c>
      <c r="G2" s="53" t="s">
        <v>44</v>
      </c>
      <c r="I2" s="54" t="s">
        <v>16</v>
      </c>
      <c r="J2" s="4"/>
      <c r="K2" s="1" t="s">
        <v>17</v>
      </c>
      <c r="L2" s="1" t="s">
        <v>18</v>
      </c>
      <c r="M2" s="1" t="s">
        <v>19</v>
      </c>
      <c r="N2" s="1" t="s">
        <v>20</v>
      </c>
      <c r="O2" s="1" t="s">
        <v>21</v>
      </c>
      <c r="P2" s="1" t="s">
        <v>22</v>
      </c>
      <c r="Q2" s="14" t="s">
        <v>45</v>
      </c>
      <c r="R2" s="14" t="s">
        <v>46</v>
      </c>
      <c r="S2" s="1" t="s">
        <v>24</v>
      </c>
      <c r="T2" s="1" t="s">
        <v>25</v>
      </c>
      <c r="U2" s="1" t="s">
        <v>26</v>
      </c>
      <c r="V2" s="1" t="s">
        <v>28</v>
      </c>
      <c r="W2" s="1" t="s">
        <v>25</v>
      </c>
      <c r="X2" s="1" t="s">
        <v>37</v>
      </c>
      <c r="Y2" s="1" t="s">
        <v>25</v>
      </c>
      <c r="Z2" s="1" t="s">
        <v>30</v>
      </c>
      <c r="AA2" s="1" t="s">
        <v>31</v>
      </c>
      <c r="AB2" s="1" t="s">
        <v>30</v>
      </c>
      <c r="AC2" s="1" t="s">
        <v>31</v>
      </c>
      <c r="AD2" s="1" t="s">
        <v>30</v>
      </c>
      <c r="AE2" s="1" t="s">
        <v>31</v>
      </c>
      <c r="AF2" s="1" t="s">
        <v>30</v>
      </c>
      <c r="AG2" s="1" t="s">
        <v>31</v>
      </c>
      <c r="AH2" s="52"/>
    </row>
    <row r="3">
      <c r="A3" s="9"/>
      <c r="B3" s="9"/>
      <c r="C3" s="9"/>
      <c r="D3" s="9"/>
      <c r="E3" s="9"/>
      <c r="F3" s="9"/>
      <c r="G3" s="12" t="s">
        <v>14</v>
      </c>
      <c r="H3" s="12" t="s">
        <v>15</v>
      </c>
      <c r="I3" s="12" t="s">
        <v>14</v>
      </c>
      <c r="J3" s="12" t="s">
        <v>15</v>
      </c>
      <c r="K3" s="9"/>
      <c r="L3" s="9"/>
      <c r="M3" s="9"/>
      <c r="N3" s="9"/>
      <c r="O3" s="9"/>
      <c r="P3" s="9"/>
      <c r="Q3" s="9"/>
      <c r="R3" s="9"/>
      <c r="S3" s="9"/>
      <c r="T3" s="9"/>
      <c r="U3" s="9"/>
      <c r="V3" s="9"/>
      <c r="W3" s="9"/>
      <c r="X3" s="9"/>
      <c r="Y3" s="9"/>
      <c r="Z3" s="9"/>
      <c r="AA3" s="9"/>
      <c r="AB3" s="9"/>
      <c r="AC3" s="9"/>
      <c r="AD3" s="9"/>
      <c r="AE3" s="9"/>
      <c r="AF3" s="9"/>
      <c r="AG3" s="9"/>
      <c r="AH3" s="9"/>
    </row>
    <row r="4">
      <c r="A4" s="55">
        <v>1.0</v>
      </c>
      <c r="B4" s="56">
        <v>3.0</v>
      </c>
      <c r="C4" s="55">
        <v>0.0</v>
      </c>
      <c r="D4" s="55">
        <v>0.0</v>
      </c>
      <c r="E4" s="55">
        <v>0.0</v>
      </c>
      <c r="F4" s="55">
        <v>0.0</v>
      </c>
      <c r="G4" s="55">
        <v>0.0</v>
      </c>
      <c r="H4" s="55">
        <v>0.0</v>
      </c>
      <c r="I4" s="55">
        <v>0.0</v>
      </c>
      <c r="J4" s="55">
        <v>0.0</v>
      </c>
      <c r="K4" s="55">
        <v>0.0</v>
      </c>
      <c r="L4" s="55">
        <v>0.0</v>
      </c>
      <c r="M4" s="55">
        <v>0.0</v>
      </c>
      <c r="N4" s="55">
        <v>0.0</v>
      </c>
      <c r="O4" s="55">
        <v>0.0</v>
      </c>
      <c r="P4" s="55">
        <v>0.0</v>
      </c>
      <c r="Q4" s="55">
        <v>0.0</v>
      </c>
      <c r="R4" s="55">
        <v>0.0</v>
      </c>
      <c r="S4" s="55">
        <v>0.0</v>
      </c>
      <c r="T4" s="55">
        <v>0.0</v>
      </c>
      <c r="U4" s="55">
        <v>0.0</v>
      </c>
      <c r="V4" s="55">
        <v>0.0</v>
      </c>
      <c r="W4" s="55">
        <v>0.0</v>
      </c>
      <c r="X4" s="55">
        <v>0.0</v>
      </c>
      <c r="Y4" s="55">
        <v>0.0</v>
      </c>
      <c r="Z4" s="55">
        <v>0.0</v>
      </c>
      <c r="AA4" s="55">
        <v>0.0</v>
      </c>
      <c r="AB4" s="55">
        <v>0.0</v>
      </c>
      <c r="AC4" s="55">
        <v>0.0</v>
      </c>
      <c r="AD4" s="55">
        <v>0.0</v>
      </c>
      <c r="AE4" s="55">
        <v>0.0</v>
      </c>
      <c r="AF4" s="55">
        <v>0.0</v>
      </c>
      <c r="AG4" s="55">
        <v>0.0</v>
      </c>
      <c r="AH4" s="55"/>
    </row>
    <row r="5">
      <c r="A5" s="55">
        <v>2.0</v>
      </c>
      <c r="B5" s="56">
        <v>3.0</v>
      </c>
      <c r="C5" s="55">
        <v>0.0</v>
      </c>
      <c r="D5" s="55">
        <v>0.0</v>
      </c>
      <c r="E5" s="55">
        <v>0.0</v>
      </c>
      <c r="F5" s="55">
        <v>1.0</v>
      </c>
      <c r="G5" s="55">
        <v>0.0</v>
      </c>
      <c r="H5" s="55">
        <v>0.0</v>
      </c>
      <c r="I5" s="55">
        <v>0.0</v>
      </c>
      <c r="J5" s="55">
        <v>0.0</v>
      </c>
      <c r="K5" s="55">
        <v>0.0</v>
      </c>
      <c r="L5" s="55">
        <v>0.0</v>
      </c>
      <c r="M5" s="55">
        <v>0.0</v>
      </c>
      <c r="N5" s="55">
        <v>0.0</v>
      </c>
      <c r="O5" s="55">
        <v>0.0</v>
      </c>
      <c r="P5" s="55">
        <v>0.0</v>
      </c>
      <c r="Q5" s="55">
        <v>0.0</v>
      </c>
      <c r="R5" s="55">
        <v>0.0</v>
      </c>
      <c r="S5" s="55">
        <v>0.0</v>
      </c>
      <c r="T5" s="55">
        <v>0.0</v>
      </c>
      <c r="U5" s="55">
        <v>0.0</v>
      </c>
      <c r="V5" s="55">
        <v>0.0</v>
      </c>
      <c r="W5" s="55">
        <v>0.0</v>
      </c>
      <c r="X5" s="55">
        <v>0.0</v>
      </c>
      <c r="Y5" s="55">
        <v>0.0</v>
      </c>
      <c r="Z5" s="55">
        <v>0.0</v>
      </c>
      <c r="AA5" s="55">
        <v>0.0</v>
      </c>
      <c r="AB5" s="55">
        <v>0.0</v>
      </c>
      <c r="AC5" s="55">
        <v>0.0</v>
      </c>
      <c r="AD5" s="55">
        <v>0.0</v>
      </c>
      <c r="AE5" s="55">
        <v>0.0</v>
      </c>
      <c r="AF5" s="55">
        <v>0.0</v>
      </c>
      <c r="AG5" s="55">
        <v>0.0</v>
      </c>
      <c r="AH5" s="55"/>
    </row>
    <row r="6">
      <c r="A6" s="55">
        <v>3.0</v>
      </c>
      <c r="B6" s="56">
        <v>3.0</v>
      </c>
      <c r="C6" s="55">
        <v>0.0</v>
      </c>
      <c r="D6" s="55">
        <v>0.0</v>
      </c>
      <c r="E6" s="55">
        <v>0.0</v>
      </c>
      <c r="F6" s="55">
        <v>1.0</v>
      </c>
      <c r="G6" s="55">
        <v>7.0</v>
      </c>
      <c r="H6" s="55">
        <v>2.0</v>
      </c>
      <c r="I6" s="55">
        <v>0.0</v>
      </c>
      <c r="J6" s="55">
        <v>0.0</v>
      </c>
      <c r="K6" s="55">
        <v>63.0</v>
      </c>
      <c r="L6" s="55">
        <v>0.0</v>
      </c>
      <c r="M6" s="55">
        <v>0.0</v>
      </c>
      <c r="N6" s="55">
        <v>0.0</v>
      </c>
      <c r="O6" s="55">
        <v>0.0</v>
      </c>
      <c r="P6" s="55">
        <v>0.0</v>
      </c>
      <c r="Q6" s="55">
        <v>0.0</v>
      </c>
      <c r="R6" s="55">
        <v>0.0</v>
      </c>
      <c r="S6" s="55">
        <v>1.0</v>
      </c>
      <c r="T6" s="55">
        <v>675.0</v>
      </c>
      <c r="U6" s="55">
        <f>T6</f>
        <v>675</v>
      </c>
      <c r="V6" s="55">
        <v>0.0</v>
      </c>
      <c r="W6" s="55">
        <v>0.0</v>
      </c>
      <c r="X6" s="55">
        <f t="shared" ref="X6:Y6" si="1">S6+V6</f>
        <v>1</v>
      </c>
      <c r="Y6" s="55">
        <f t="shared" si="1"/>
        <v>675</v>
      </c>
      <c r="Z6" s="55">
        <f t="shared" ref="Z6:Z25" si="3">sum(G6:H6)</f>
        <v>9</v>
      </c>
      <c r="AA6" s="55">
        <f t="shared" ref="AA6:AA25" si="4">sum(G6:H6)</f>
        <v>9</v>
      </c>
      <c r="AB6" s="55">
        <v>0.0</v>
      </c>
      <c r="AC6" s="55">
        <v>0.0</v>
      </c>
      <c r="AD6" s="55">
        <v>0.0</v>
      </c>
      <c r="AE6" s="55">
        <v>0.0</v>
      </c>
      <c r="AF6" s="55">
        <v>0.0</v>
      </c>
      <c r="AG6" s="55">
        <v>0.0</v>
      </c>
      <c r="AH6" s="55"/>
    </row>
    <row r="7">
      <c r="A7" s="55">
        <v>4.0</v>
      </c>
      <c r="B7" s="56">
        <v>3.0</v>
      </c>
      <c r="C7" s="55">
        <v>0.0</v>
      </c>
      <c r="D7" s="55">
        <v>0.0</v>
      </c>
      <c r="E7" s="55">
        <v>0.0</v>
      </c>
      <c r="F7" s="55">
        <v>0.0</v>
      </c>
      <c r="G7" s="55">
        <v>12.0</v>
      </c>
      <c r="H7" s="55">
        <v>2.0</v>
      </c>
      <c r="I7" s="55">
        <v>0.0</v>
      </c>
      <c r="J7" s="55">
        <v>0.0</v>
      </c>
      <c r="K7" s="55">
        <v>84.0</v>
      </c>
      <c r="L7" s="55">
        <v>0.0</v>
      </c>
      <c r="M7" s="55">
        <v>0.0</v>
      </c>
      <c r="N7" s="55">
        <v>0.0</v>
      </c>
      <c r="O7" s="55">
        <v>0.0</v>
      </c>
      <c r="P7" s="55">
        <v>0.0</v>
      </c>
      <c r="Q7" s="55">
        <v>0.0</v>
      </c>
      <c r="R7" s="55">
        <v>0.0</v>
      </c>
      <c r="S7" s="55">
        <v>0.0</v>
      </c>
      <c r="T7" s="55">
        <v>0.0</v>
      </c>
      <c r="U7" s="55">
        <v>0.0</v>
      </c>
      <c r="V7" s="55">
        <v>0.0</v>
      </c>
      <c r="W7" s="55">
        <v>0.0</v>
      </c>
      <c r="X7" s="55">
        <f t="shared" ref="X7:Y7" si="2">S7+V7</f>
        <v>0</v>
      </c>
      <c r="Y7" s="55">
        <f t="shared" si="2"/>
        <v>0</v>
      </c>
      <c r="Z7" s="55">
        <f t="shared" si="3"/>
        <v>14</v>
      </c>
      <c r="AA7" s="55">
        <f t="shared" si="4"/>
        <v>14</v>
      </c>
      <c r="AB7" s="55">
        <v>0.0</v>
      </c>
      <c r="AC7" s="55">
        <v>0.0</v>
      </c>
      <c r="AD7" s="55">
        <v>0.0</v>
      </c>
      <c r="AE7" s="55">
        <v>0.0</v>
      </c>
      <c r="AF7" s="55">
        <v>0.0</v>
      </c>
      <c r="AG7" s="55">
        <v>0.0</v>
      </c>
      <c r="AH7" s="55"/>
    </row>
    <row r="8">
      <c r="A8" s="55">
        <v>5.0</v>
      </c>
      <c r="B8" s="56">
        <v>3.0</v>
      </c>
      <c r="C8" s="55">
        <v>0.0</v>
      </c>
      <c r="D8" s="55">
        <v>0.0</v>
      </c>
      <c r="E8" s="55">
        <v>0.0</v>
      </c>
      <c r="F8" s="55">
        <v>0.0</v>
      </c>
      <c r="G8" s="55">
        <v>22.0</v>
      </c>
      <c r="H8" s="55">
        <v>6.0</v>
      </c>
      <c r="I8" s="55">
        <v>0.0</v>
      </c>
      <c r="J8" s="55">
        <v>0.0</v>
      </c>
      <c r="K8" s="55">
        <v>213.0</v>
      </c>
      <c r="L8" s="55">
        <v>0.0</v>
      </c>
      <c r="M8" s="55">
        <v>0.0</v>
      </c>
      <c r="N8" s="55">
        <v>0.0</v>
      </c>
      <c r="O8" s="55">
        <v>0.0</v>
      </c>
      <c r="P8" s="55">
        <v>0.0</v>
      </c>
      <c r="Q8" s="55">
        <v>0.0</v>
      </c>
      <c r="R8" s="55">
        <v>0.0</v>
      </c>
      <c r="S8" s="55">
        <v>0.0</v>
      </c>
      <c r="T8" s="55">
        <v>0.0</v>
      </c>
      <c r="U8" s="55">
        <v>0.0</v>
      </c>
      <c r="V8" s="55">
        <v>0.0</v>
      </c>
      <c r="W8" s="55">
        <v>0.0</v>
      </c>
      <c r="X8" s="55">
        <f t="shared" ref="X8:Y8" si="5">S8+V8</f>
        <v>0</v>
      </c>
      <c r="Y8" s="55">
        <f t="shared" si="5"/>
        <v>0</v>
      </c>
      <c r="Z8" s="55">
        <f t="shared" si="3"/>
        <v>28</v>
      </c>
      <c r="AA8" s="55">
        <f t="shared" si="4"/>
        <v>28</v>
      </c>
      <c r="AB8" s="55">
        <v>0.0</v>
      </c>
      <c r="AC8" s="55">
        <v>0.0</v>
      </c>
      <c r="AD8" s="55">
        <v>0.0</v>
      </c>
      <c r="AE8" s="55">
        <v>0.0</v>
      </c>
      <c r="AF8" s="55">
        <v>0.0</v>
      </c>
      <c r="AG8" s="55">
        <v>0.0</v>
      </c>
      <c r="AH8" s="55"/>
    </row>
    <row r="9">
      <c r="A9" s="55">
        <v>6.0</v>
      </c>
      <c r="B9" s="56">
        <v>3.0</v>
      </c>
      <c r="C9" s="55">
        <v>0.0</v>
      </c>
      <c r="D9" s="55">
        <v>0.0</v>
      </c>
      <c r="E9" s="55">
        <v>0.0</v>
      </c>
      <c r="F9" s="55">
        <v>0.0</v>
      </c>
      <c r="G9" s="55">
        <v>20.0</v>
      </c>
      <c r="H9" s="55">
        <v>6.0</v>
      </c>
      <c r="I9" s="55">
        <v>0.0</v>
      </c>
      <c r="J9" s="55">
        <v>0.0</v>
      </c>
      <c r="K9" s="55">
        <v>207.0</v>
      </c>
      <c r="L9" s="55">
        <v>0.0</v>
      </c>
      <c r="M9" s="55">
        <v>0.0</v>
      </c>
      <c r="N9" s="55">
        <v>0.0</v>
      </c>
      <c r="O9" s="55">
        <v>0.0</v>
      </c>
      <c r="P9" s="55">
        <v>0.0</v>
      </c>
      <c r="Q9" s="55">
        <v>0.0</v>
      </c>
      <c r="R9" s="55">
        <v>0.0</v>
      </c>
      <c r="S9" s="55">
        <v>0.0</v>
      </c>
      <c r="T9" s="55">
        <v>0.0</v>
      </c>
      <c r="U9" s="55">
        <v>0.0</v>
      </c>
      <c r="V9" s="55">
        <v>0.0</v>
      </c>
      <c r="W9" s="55">
        <v>0.0</v>
      </c>
      <c r="X9" s="55">
        <f t="shared" ref="X9:Y9" si="6">S9+V9</f>
        <v>0</v>
      </c>
      <c r="Y9" s="55">
        <f t="shared" si="6"/>
        <v>0</v>
      </c>
      <c r="Z9" s="55">
        <f t="shared" si="3"/>
        <v>26</v>
      </c>
      <c r="AA9" s="55">
        <f t="shared" si="4"/>
        <v>26</v>
      </c>
      <c r="AB9" s="55">
        <v>0.0</v>
      </c>
      <c r="AC9" s="55">
        <v>0.0</v>
      </c>
      <c r="AD9" s="55">
        <v>0.0</v>
      </c>
      <c r="AE9" s="55">
        <v>0.0</v>
      </c>
      <c r="AF9" s="55">
        <v>0.0</v>
      </c>
      <c r="AG9" s="55">
        <v>0.0</v>
      </c>
      <c r="AH9" s="55"/>
    </row>
    <row r="10">
      <c r="A10" s="55">
        <v>7.0</v>
      </c>
      <c r="B10" s="56">
        <v>3.0</v>
      </c>
      <c r="C10" s="55">
        <v>0.0</v>
      </c>
      <c r="D10" s="55">
        <v>0.0</v>
      </c>
      <c r="E10" s="55">
        <v>0.0</v>
      </c>
      <c r="F10" s="55">
        <v>0.0</v>
      </c>
      <c r="G10" s="55">
        <v>21.0</v>
      </c>
      <c r="H10" s="55">
        <v>25.0</v>
      </c>
      <c r="I10" s="55">
        <v>0.0</v>
      </c>
      <c r="J10" s="55">
        <v>0.0</v>
      </c>
      <c r="K10" s="55">
        <v>333.0</v>
      </c>
      <c r="L10" s="55">
        <v>0.0</v>
      </c>
      <c r="M10" s="55">
        <v>0.0</v>
      </c>
      <c r="N10" s="55">
        <v>0.0</v>
      </c>
      <c r="O10" s="55">
        <v>0.0</v>
      </c>
      <c r="P10" s="55">
        <v>0.0</v>
      </c>
      <c r="Q10" s="55">
        <v>0.0</v>
      </c>
      <c r="R10" s="55">
        <v>0.0</v>
      </c>
      <c r="S10" s="55">
        <v>0.0</v>
      </c>
      <c r="T10" s="55">
        <v>0.0</v>
      </c>
      <c r="U10" s="55">
        <v>0.0</v>
      </c>
      <c r="V10" s="55">
        <v>1.0</v>
      </c>
      <c r="W10" s="55">
        <v>37.0</v>
      </c>
      <c r="X10" s="55">
        <f t="shared" ref="X10:Y10" si="7">S10+V10</f>
        <v>1</v>
      </c>
      <c r="Y10" s="55">
        <f t="shared" si="7"/>
        <v>37</v>
      </c>
      <c r="Z10" s="55">
        <f t="shared" si="3"/>
        <v>46</v>
      </c>
      <c r="AA10" s="55">
        <f t="shared" si="4"/>
        <v>46</v>
      </c>
      <c r="AB10" s="55">
        <v>1.0</v>
      </c>
      <c r="AC10" s="55">
        <v>1.0</v>
      </c>
      <c r="AD10" s="55">
        <v>0.0</v>
      </c>
      <c r="AE10" s="55">
        <v>0.0</v>
      </c>
      <c r="AF10" s="55">
        <v>0.0</v>
      </c>
      <c r="AG10" s="55">
        <v>0.0</v>
      </c>
      <c r="AH10" s="55"/>
    </row>
    <row r="11">
      <c r="A11" s="55">
        <v>8.0</v>
      </c>
      <c r="B11" s="56">
        <v>3.0</v>
      </c>
      <c r="C11" s="55">
        <v>0.0</v>
      </c>
      <c r="D11" s="55">
        <v>0.0</v>
      </c>
      <c r="E11" s="55">
        <v>0.0</v>
      </c>
      <c r="F11" s="55">
        <v>0.0</v>
      </c>
      <c r="G11" s="55">
        <v>6.0</v>
      </c>
      <c r="H11" s="55">
        <v>8.0</v>
      </c>
      <c r="I11" s="55">
        <v>0.0</v>
      </c>
      <c r="J11" s="55">
        <v>0.0</v>
      </c>
      <c r="K11" s="55">
        <v>107.0</v>
      </c>
      <c r="L11" s="55">
        <v>0.0</v>
      </c>
      <c r="M11" s="55">
        <v>0.0</v>
      </c>
      <c r="N11" s="55">
        <v>0.0</v>
      </c>
      <c r="O11" s="55">
        <v>0.0</v>
      </c>
      <c r="P11" s="55">
        <v>0.0</v>
      </c>
      <c r="Q11" s="55">
        <v>0.0</v>
      </c>
      <c r="R11" s="55">
        <v>0.0</v>
      </c>
      <c r="S11" s="55">
        <v>0.0</v>
      </c>
      <c r="T11" s="55">
        <v>0.0</v>
      </c>
      <c r="U11" s="55">
        <v>0.0</v>
      </c>
      <c r="V11" s="55">
        <v>1.0</v>
      </c>
      <c r="W11" s="55">
        <v>30.0</v>
      </c>
      <c r="X11" s="55">
        <f t="shared" ref="X11:Y11" si="8">S11+V11</f>
        <v>1</v>
      </c>
      <c r="Y11" s="55">
        <f t="shared" si="8"/>
        <v>30</v>
      </c>
      <c r="Z11" s="55">
        <f t="shared" si="3"/>
        <v>14</v>
      </c>
      <c r="AA11" s="55">
        <f t="shared" si="4"/>
        <v>14</v>
      </c>
      <c r="AB11" s="55">
        <v>1.0</v>
      </c>
      <c r="AC11" s="55">
        <v>1.0</v>
      </c>
      <c r="AD11" s="55">
        <v>0.0</v>
      </c>
      <c r="AE11" s="55">
        <v>0.0</v>
      </c>
      <c r="AF11" s="55">
        <v>0.0</v>
      </c>
      <c r="AG11" s="55">
        <v>0.0</v>
      </c>
      <c r="AH11" s="55"/>
    </row>
    <row r="12">
      <c r="A12" s="55">
        <v>9.0</v>
      </c>
      <c r="B12" s="56">
        <v>3.0</v>
      </c>
      <c r="C12" s="55">
        <v>0.0</v>
      </c>
      <c r="D12" s="55">
        <v>0.0</v>
      </c>
      <c r="E12" s="55">
        <v>0.0</v>
      </c>
      <c r="F12" s="55">
        <v>0.0</v>
      </c>
      <c r="G12" s="55">
        <v>0.0</v>
      </c>
      <c r="H12" s="55">
        <v>0.0</v>
      </c>
      <c r="I12" s="55">
        <v>0.0</v>
      </c>
      <c r="J12" s="55">
        <v>0.0</v>
      </c>
      <c r="K12" s="55">
        <v>0.0</v>
      </c>
      <c r="L12" s="55">
        <v>0.0</v>
      </c>
      <c r="M12" s="55">
        <v>0.0</v>
      </c>
      <c r="N12" s="55">
        <v>0.0</v>
      </c>
      <c r="O12" s="55">
        <v>0.0</v>
      </c>
      <c r="P12" s="55">
        <v>0.0</v>
      </c>
      <c r="Q12" s="55">
        <v>0.0</v>
      </c>
      <c r="R12" s="55">
        <v>0.0</v>
      </c>
      <c r="S12" s="55">
        <v>0.0</v>
      </c>
      <c r="T12" s="55">
        <v>0.0</v>
      </c>
      <c r="U12" s="55">
        <v>0.0</v>
      </c>
      <c r="V12" s="55">
        <v>1.0</v>
      </c>
      <c r="W12" s="55">
        <v>78.0</v>
      </c>
      <c r="X12" s="55">
        <f t="shared" ref="X12:Y12" si="9">S12+V12</f>
        <v>1</v>
      </c>
      <c r="Y12" s="55">
        <f t="shared" si="9"/>
        <v>78</v>
      </c>
      <c r="Z12" s="55">
        <f t="shared" si="3"/>
        <v>0</v>
      </c>
      <c r="AA12" s="55">
        <f t="shared" si="4"/>
        <v>0</v>
      </c>
      <c r="AB12" s="55">
        <v>0.0</v>
      </c>
      <c r="AC12" s="55">
        <v>0.0</v>
      </c>
      <c r="AD12" s="55">
        <v>0.0</v>
      </c>
      <c r="AE12" s="55">
        <v>0.0</v>
      </c>
      <c r="AF12" s="55">
        <v>0.0</v>
      </c>
      <c r="AG12" s="55">
        <v>0.0</v>
      </c>
      <c r="AH12" s="55"/>
    </row>
    <row r="13">
      <c r="A13" s="55">
        <v>10.0</v>
      </c>
      <c r="B13" s="56">
        <v>3.0</v>
      </c>
      <c r="C13" s="55">
        <v>0.0</v>
      </c>
      <c r="D13" s="55">
        <v>0.0</v>
      </c>
      <c r="E13" s="55">
        <v>0.0</v>
      </c>
      <c r="F13" s="55">
        <v>0.0</v>
      </c>
      <c r="G13" s="55">
        <v>13.0</v>
      </c>
      <c r="H13" s="55">
        <v>5.0</v>
      </c>
      <c r="I13" s="55">
        <v>0.0</v>
      </c>
      <c r="J13" s="55">
        <v>0.0</v>
      </c>
      <c r="K13" s="55">
        <v>162.0</v>
      </c>
      <c r="L13" s="55">
        <v>0.0</v>
      </c>
      <c r="M13" s="55">
        <v>0.0</v>
      </c>
      <c r="N13" s="55">
        <v>0.0</v>
      </c>
      <c r="O13" s="55">
        <v>0.0</v>
      </c>
      <c r="P13" s="55">
        <v>0.0</v>
      </c>
      <c r="Q13" s="55">
        <v>0.0</v>
      </c>
      <c r="R13" s="55">
        <v>0.0</v>
      </c>
      <c r="S13" s="55">
        <v>0.0</v>
      </c>
      <c r="T13" s="55">
        <v>0.0</v>
      </c>
      <c r="U13" s="55">
        <v>0.0</v>
      </c>
      <c r="V13" s="55">
        <v>1.0</v>
      </c>
      <c r="W13" s="55">
        <v>25.0</v>
      </c>
      <c r="X13" s="55">
        <f t="shared" ref="X13:Y13" si="10">S13+V13</f>
        <v>1</v>
      </c>
      <c r="Y13" s="55">
        <f t="shared" si="10"/>
        <v>25</v>
      </c>
      <c r="Z13" s="55">
        <f t="shared" si="3"/>
        <v>18</v>
      </c>
      <c r="AA13" s="55">
        <f t="shared" si="4"/>
        <v>18</v>
      </c>
      <c r="AB13" s="55">
        <v>1.0</v>
      </c>
      <c r="AC13" s="55">
        <v>1.0</v>
      </c>
      <c r="AD13" s="55">
        <v>0.0</v>
      </c>
      <c r="AE13" s="55">
        <v>0.0</v>
      </c>
      <c r="AF13" s="55">
        <v>0.0</v>
      </c>
      <c r="AG13" s="55">
        <v>0.0</v>
      </c>
      <c r="AH13" s="55"/>
    </row>
    <row r="14">
      <c r="A14" s="55">
        <v>11.0</v>
      </c>
      <c r="B14" s="56">
        <v>3.0</v>
      </c>
      <c r="C14" s="55">
        <v>0.0</v>
      </c>
      <c r="D14" s="55">
        <v>0.0</v>
      </c>
      <c r="E14" s="55">
        <v>0.0</v>
      </c>
      <c r="F14" s="55">
        <v>0.0</v>
      </c>
      <c r="G14" s="55">
        <v>22.0</v>
      </c>
      <c r="H14" s="55">
        <v>18.0</v>
      </c>
      <c r="I14" s="55">
        <v>0.0</v>
      </c>
      <c r="J14" s="55">
        <v>0.0</v>
      </c>
      <c r="K14" s="55">
        <v>319.0</v>
      </c>
      <c r="L14" s="55">
        <v>0.0</v>
      </c>
      <c r="M14" s="55">
        <v>0.0</v>
      </c>
      <c r="N14" s="55">
        <v>0.0</v>
      </c>
      <c r="O14" s="55">
        <v>0.0</v>
      </c>
      <c r="P14" s="55">
        <v>0.0</v>
      </c>
      <c r="Q14" s="55">
        <v>0.0</v>
      </c>
      <c r="R14" s="55">
        <v>0.0</v>
      </c>
      <c r="S14" s="55">
        <v>0.0</v>
      </c>
      <c r="T14" s="55">
        <v>0.0</v>
      </c>
      <c r="U14" s="55">
        <v>0.0</v>
      </c>
      <c r="V14" s="55">
        <v>0.0</v>
      </c>
      <c r="W14" s="55">
        <v>0.0</v>
      </c>
      <c r="X14" s="55">
        <f t="shared" ref="X14:Y14" si="11">S14+V14</f>
        <v>0</v>
      </c>
      <c r="Y14" s="55">
        <f t="shared" si="11"/>
        <v>0</v>
      </c>
      <c r="Z14" s="55">
        <f t="shared" si="3"/>
        <v>40</v>
      </c>
      <c r="AA14" s="55">
        <f t="shared" si="4"/>
        <v>40</v>
      </c>
      <c r="AB14" s="55">
        <v>0.0</v>
      </c>
      <c r="AC14" s="55">
        <v>0.0</v>
      </c>
      <c r="AD14" s="55">
        <v>0.0</v>
      </c>
      <c r="AE14" s="55">
        <v>0.0</v>
      </c>
      <c r="AF14" s="55">
        <v>0.0</v>
      </c>
      <c r="AG14" s="55">
        <v>0.0</v>
      </c>
      <c r="AH14" s="55"/>
    </row>
    <row r="15">
      <c r="A15" s="55">
        <v>12.0</v>
      </c>
      <c r="B15" s="56">
        <v>3.0</v>
      </c>
      <c r="C15" s="55">
        <v>0.0</v>
      </c>
      <c r="D15" s="55">
        <v>0.0</v>
      </c>
      <c r="E15" s="55">
        <v>0.0</v>
      </c>
      <c r="F15" s="55">
        <v>0.0</v>
      </c>
      <c r="G15" s="55">
        <v>26.0</v>
      </c>
      <c r="H15" s="55">
        <v>17.0</v>
      </c>
      <c r="I15" s="55">
        <v>0.0</v>
      </c>
      <c r="J15" s="55">
        <v>0.0</v>
      </c>
      <c r="K15" s="55">
        <v>333.0</v>
      </c>
      <c r="L15" s="55">
        <v>0.0</v>
      </c>
      <c r="M15" s="55">
        <v>0.0</v>
      </c>
      <c r="N15" s="55">
        <v>0.0</v>
      </c>
      <c r="O15" s="55">
        <v>0.0</v>
      </c>
      <c r="P15" s="55">
        <v>0.0</v>
      </c>
      <c r="Q15" s="55">
        <v>0.0</v>
      </c>
      <c r="R15" s="55">
        <v>0.0</v>
      </c>
      <c r="S15" s="55">
        <v>0.0</v>
      </c>
      <c r="T15" s="55">
        <v>0.0</v>
      </c>
      <c r="U15" s="55">
        <v>0.0</v>
      </c>
      <c r="V15" s="55">
        <v>0.0</v>
      </c>
      <c r="W15" s="55">
        <v>0.0</v>
      </c>
      <c r="X15" s="55">
        <f t="shared" ref="X15:Y15" si="12">S15+V15</f>
        <v>0</v>
      </c>
      <c r="Y15" s="55">
        <f t="shared" si="12"/>
        <v>0</v>
      </c>
      <c r="Z15" s="55">
        <f t="shared" si="3"/>
        <v>43</v>
      </c>
      <c r="AA15" s="55">
        <f t="shared" si="4"/>
        <v>43</v>
      </c>
      <c r="AB15" s="55">
        <v>0.0</v>
      </c>
      <c r="AC15" s="55">
        <v>0.0</v>
      </c>
      <c r="AD15" s="55">
        <v>0.0</v>
      </c>
      <c r="AE15" s="55">
        <v>0.0</v>
      </c>
      <c r="AF15" s="55">
        <v>0.0</v>
      </c>
      <c r="AG15" s="55">
        <v>0.0</v>
      </c>
      <c r="AH15" s="55"/>
    </row>
    <row r="16">
      <c r="A16" s="55">
        <v>13.0</v>
      </c>
      <c r="B16" s="56">
        <v>3.0</v>
      </c>
      <c r="C16" s="55">
        <v>0.0</v>
      </c>
      <c r="D16" s="55">
        <v>0.0</v>
      </c>
      <c r="E16" s="55">
        <v>0.0</v>
      </c>
      <c r="F16" s="55">
        <v>0.0</v>
      </c>
      <c r="G16" s="55">
        <v>18.0</v>
      </c>
      <c r="H16" s="55">
        <v>12.0</v>
      </c>
      <c r="I16" s="55">
        <v>0.0</v>
      </c>
      <c r="J16" s="55">
        <v>0.0</v>
      </c>
      <c r="K16" s="55">
        <v>249.0</v>
      </c>
      <c r="L16" s="55">
        <v>0.0</v>
      </c>
      <c r="M16" s="55">
        <v>0.0</v>
      </c>
      <c r="N16" s="55">
        <v>0.0</v>
      </c>
      <c r="O16" s="55">
        <v>0.0</v>
      </c>
      <c r="P16" s="55">
        <v>0.0</v>
      </c>
      <c r="Q16" s="55">
        <v>1.0</v>
      </c>
      <c r="R16" s="55">
        <v>0.0</v>
      </c>
      <c r="S16" s="55">
        <v>1.0</v>
      </c>
      <c r="T16" s="55">
        <v>100.0</v>
      </c>
      <c r="U16" s="55">
        <v>100.0</v>
      </c>
      <c r="V16" s="55">
        <v>0.0</v>
      </c>
      <c r="W16" s="55">
        <v>0.0</v>
      </c>
      <c r="X16" s="55">
        <f t="shared" ref="X16:Y16" si="13">S16+V16</f>
        <v>1</v>
      </c>
      <c r="Y16" s="55">
        <f t="shared" si="13"/>
        <v>100</v>
      </c>
      <c r="Z16" s="55">
        <f t="shared" si="3"/>
        <v>30</v>
      </c>
      <c r="AA16" s="55">
        <f t="shared" si="4"/>
        <v>30</v>
      </c>
      <c r="AB16" s="55">
        <v>0.0</v>
      </c>
      <c r="AC16" s="55">
        <v>0.0</v>
      </c>
      <c r="AD16" s="55">
        <v>0.0</v>
      </c>
      <c r="AE16" s="55">
        <v>0.0</v>
      </c>
      <c r="AF16" s="55">
        <v>0.0</v>
      </c>
      <c r="AG16" s="55">
        <v>0.0</v>
      </c>
      <c r="AH16" s="55"/>
    </row>
    <row r="17">
      <c r="A17" s="55">
        <v>14.0</v>
      </c>
      <c r="B17" s="56">
        <v>3.0</v>
      </c>
      <c r="C17" s="55">
        <v>0.0</v>
      </c>
      <c r="D17" s="55">
        <v>0.0</v>
      </c>
      <c r="E17" s="55">
        <v>0.0</v>
      </c>
      <c r="F17" s="55">
        <v>0.0</v>
      </c>
      <c r="G17" s="55">
        <v>12.0</v>
      </c>
      <c r="H17" s="55">
        <v>18.0</v>
      </c>
      <c r="I17" s="55">
        <v>0.0</v>
      </c>
      <c r="J17" s="55">
        <v>0.0</v>
      </c>
      <c r="K17" s="55">
        <v>223.0</v>
      </c>
      <c r="L17" s="55">
        <v>0.0</v>
      </c>
      <c r="M17" s="55">
        <v>0.0</v>
      </c>
      <c r="N17" s="55">
        <v>0.0</v>
      </c>
      <c r="O17" s="55">
        <v>0.0</v>
      </c>
      <c r="P17" s="55">
        <v>0.0</v>
      </c>
      <c r="Q17" s="55">
        <v>0.0</v>
      </c>
      <c r="R17" s="55">
        <v>0.0</v>
      </c>
      <c r="S17" s="55">
        <v>0.0</v>
      </c>
      <c r="T17" s="55">
        <v>0.0</v>
      </c>
      <c r="U17" s="55">
        <v>0.0</v>
      </c>
      <c r="V17" s="55">
        <v>0.0</v>
      </c>
      <c r="W17" s="55">
        <v>0.0</v>
      </c>
      <c r="X17" s="55">
        <f t="shared" ref="X17:Y17" si="14">S17+V17</f>
        <v>0</v>
      </c>
      <c r="Y17" s="55">
        <f t="shared" si="14"/>
        <v>0</v>
      </c>
      <c r="Z17" s="55">
        <f t="shared" si="3"/>
        <v>30</v>
      </c>
      <c r="AA17" s="55">
        <f t="shared" si="4"/>
        <v>30</v>
      </c>
      <c r="AB17" s="55">
        <v>0.0</v>
      </c>
      <c r="AC17" s="55">
        <v>0.0</v>
      </c>
      <c r="AD17" s="55">
        <v>0.0</v>
      </c>
      <c r="AE17" s="55">
        <v>0.0</v>
      </c>
      <c r="AF17" s="55">
        <v>0.0</v>
      </c>
      <c r="AG17" s="55">
        <v>0.0</v>
      </c>
      <c r="AH17" s="55"/>
    </row>
    <row r="18">
      <c r="A18" s="55">
        <v>15.0</v>
      </c>
      <c r="B18" s="56">
        <v>3.0</v>
      </c>
      <c r="C18" s="55">
        <v>0.0</v>
      </c>
      <c r="D18" s="55">
        <v>0.0</v>
      </c>
      <c r="E18" s="55">
        <v>0.0</v>
      </c>
      <c r="F18" s="55">
        <v>0.0</v>
      </c>
      <c r="G18" s="55">
        <v>49.0</v>
      </c>
      <c r="H18" s="55">
        <v>36.0</v>
      </c>
      <c r="I18" s="55">
        <v>0.0</v>
      </c>
      <c r="J18" s="55">
        <v>0.0</v>
      </c>
      <c r="K18" s="55">
        <v>706.0</v>
      </c>
      <c r="L18" s="55">
        <v>0.0</v>
      </c>
      <c r="M18" s="55">
        <v>0.0</v>
      </c>
      <c r="N18" s="55">
        <v>0.0</v>
      </c>
      <c r="O18" s="55">
        <v>0.0</v>
      </c>
      <c r="P18" s="55">
        <v>0.0</v>
      </c>
      <c r="Q18" s="55">
        <v>0.0</v>
      </c>
      <c r="R18" s="55">
        <v>0.0</v>
      </c>
      <c r="S18" s="55">
        <v>0.0</v>
      </c>
      <c r="T18" s="55">
        <v>0.0</v>
      </c>
      <c r="U18" s="55">
        <v>0.0</v>
      </c>
      <c r="V18" s="55">
        <v>0.0</v>
      </c>
      <c r="W18" s="55">
        <v>0.0</v>
      </c>
      <c r="X18" s="55">
        <f t="shared" ref="X18:Y18" si="15">S18+V18</f>
        <v>0</v>
      </c>
      <c r="Y18" s="55">
        <f t="shared" si="15"/>
        <v>0</v>
      </c>
      <c r="Z18" s="55">
        <f t="shared" si="3"/>
        <v>85</v>
      </c>
      <c r="AA18" s="55">
        <f t="shared" si="4"/>
        <v>85</v>
      </c>
      <c r="AB18" s="55">
        <v>0.0</v>
      </c>
      <c r="AC18" s="55">
        <v>0.0</v>
      </c>
      <c r="AD18" s="55">
        <v>0.0</v>
      </c>
      <c r="AE18" s="55">
        <v>0.0</v>
      </c>
      <c r="AF18" s="55">
        <v>0.0</v>
      </c>
      <c r="AG18" s="55">
        <v>0.0</v>
      </c>
      <c r="AH18" s="55"/>
    </row>
    <row r="19">
      <c r="A19" s="55">
        <v>16.0</v>
      </c>
      <c r="B19" s="56">
        <v>3.0</v>
      </c>
      <c r="C19" s="55">
        <v>0.0</v>
      </c>
      <c r="D19" s="55">
        <v>2.0</v>
      </c>
      <c r="E19" s="55">
        <v>0.0</v>
      </c>
      <c r="F19" s="55">
        <v>0.0</v>
      </c>
      <c r="G19" s="55">
        <v>0.0</v>
      </c>
      <c r="H19" s="55">
        <v>0.0</v>
      </c>
      <c r="I19" s="55">
        <v>0.0</v>
      </c>
      <c r="J19" s="55">
        <v>0.0</v>
      </c>
      <c r="K19" s="55">
        <v>0.0</v>
      </c>
      <c r="L19" s="55">
        <v>0.0</v>
      </c>
      <c r="M19" s="55">
        <v>0.0</v>
      </c>
      <c r="N19" s="55">
        <v>0.0</v>
      </c>
      <c r="O19" s="55">
        <v>0.0</v>
      </c>
      <c r="P19" s="55">
        <v>0.0</v>
      </c>
      <c r="Q19" s="55">
        <v>0.0</v>
      </c>
      <c r="R19" s="55">
        <v>0.0</v>
      </c>
      <c r="S19" s="55">
        <v>0.0</v>
      </c>
      <c r="T19" s="55">
        <v>0.0</v>
      </c>
      <c r="U19" s="55">
        <v>0.0</v>
      </c>
      <c r="V19" s="55">
        <v>0.0</v>
      </c>
      <c r="W19" s="55">
        <v>0.0</v>
      </c>
      <c r="X19" s="55">
        <f t="shared" ref="X19:Y19" si="16">S19+V19</f>
        <v>0</v>
      </c>
      <c r="Y19" s="55">
        <f t="shared" si="16"/>
        <v>0</v>
      </c>
      <c r="Z19" s="55">
        <f t="shared" si="3"/>
        <v>0</v>
      </c>
      <c r="AA19" s="55">
        <f t="shared" si="4"/>
        <v>0</v>
      </c>
      <c r="AB19" s="55">
        <v>0.0</v>
      </c>
      <c r="AC19" s="55">
        <v>0.0</v>
      </c>
      <c r="AD19" s="55">
        <v>0.0</v>
      </c>
      <c r="AE19" s="55">
        <v>0.0</v>
      </c>
      <c r="AF19" s="55">
        <v>0.0</v>
      </c>
      <c r="AG19" s="55">
        <v>0.0</v>
      </c>
      <c r="AH19" s="55" t="s">
        <v>47</v>
      </c>
    </row>
    <row r="20">
      <c r="A20" s="55">
        <v>17.0</v>
      </c>
      <c r="B20" s="56">
        <v>3.0</v>
      </c>
      <c r="C20" s="55">
        <v>0.0</v>
      </c>
      <c r="D20" s="55">
        <v>0.0</v>
      </c>
      <c r="E20" s="55">
        <v>0.0</v>
      </c>
      <c r="F20" s="55">
        <v>0.0</v>
      </c>
      <c r="G20" s="55">
        <v>3.0</v>
      </c>
      <c r="H20" s="55">
        <v>0.0</v>
      </c>
      <c r="I20" s="55">
        <v>1.0</v>
      </c>
      <c r="J20" s="55">
        <v>0.0</v>
      </c>
      <c r="K20" s="55">
        <v>17.0</v>
      </c>
      <c r="L20" s="55">
        <v>1.0</v>
      </c>
      <c r="M20" s="55">
        <v>1.0</v>
      </c>
      <c r="N20" s="55">
        <v>50.0</v>
      </c>
      <c r="O20" s="55">
        <v>0.0</v>
      </c>
      <c r="P20" s="55">
        <v>0.0</v>
      </c>
      <c r="Q20" s="55">
        <v>0.0</v>
      </c>
      <c r="R20" s="55">
        <v>0.0</v>
      </c>
      <c r="S20" s="55">
        <v>0.0</v>
      </c>
      <c r="T20" s="55">
        <v>0.0</v>
      </c>
      <c r="U20" s="55">
        <v>0.0</v>
      </c>
      <c r="V20" s="55">
        <v>0.0</v>
      </c>
      <c r="W20" s="55">
        <v>0.0</v>
      </c>
      <c r="X20" s="55">
        <f t="shared" ref="X20:Y20" si="17">S20+V20</f>
        <v>0</v>
      </c>
      <c r="Y20" s="55">
        <f t="shared" si="17"/>
        <v>0</v>
      </c>
      <c r="Z20" s="55">
        <f t="shared" si="3"/>
        <v>3</v>
      </c>
      <c r="AA20" s="55">
        <f t="shared" si="4"/>
        <v>3</v>
      </c>
      <c r="AB20" s="55">
        <v>0.0</v>
      </c>
      <c r="AC20" s="55">
        <v>0.0</v>
      </c>
      <c r="AD20" s="55">
        <v>0.0</v>
      </c>
      <c r="AE20" s="55">
        <v>0.0</v>
      </c>
      <c r="AF20" s="55">
        <v>0.0</v>
      </c>
      <c r="AG20" s="55">
        <v>0.0</v>
      </c>
      <c r="AH20" s="57"/>
    </row>
    <row r="21">
      <c r="A21" s="55">
        <v>18.0</v>
      </c>
      <c r="B21" s="56">
        <v>3.0</v>
      </c>
      <c r="C21" s="55">
        <v>0.0</v>
      </c>
      <c r="D21" s="55">
        <v>0.0</v>
      </c>
      <c r="E21" s="55">
        <v>0.0</v>
      </c>
      <c r="F21" s="55">
        <v>0.0</v>
      </c>
      <c r="G21" s="55">
        <v>2.0</v>
      </c>
      <c r="H21" s="55">
        <v>0.0</v>
      </c>
      <c r="I21" s="55">
        <v>1.0</v>
      </c>
      <c r="J21" s="55">
        <v>0.0</v>
      </c>
      <c r="K21" s="55">
        <v>11.0</v>
      </c>
      <c r="L21" s="55">
        <v>1.0</v>
      </c>
      <c r="M21" s="55">
        <v>1.0</v>
      </c>
      <c r="N21" s="55">
        <v>50.0</v>
      </c>
      <c r="O21" s="55">
        <v>0.0</v>
      </c>
      <c r="P21" s="55">
        <v>0.0</v>
      </c>
      <c r="Q21" s="55">
        <v>0.0</v>
      </c>
      <c r="R21" s="55">
        <v>0.0</v>
      </c>
      <c r="S21" s="55">
        <v>0.0</v>
      </c>
      <c r="T21" s="55">
        <v>0.0</v>
      </c>
      <c r="U21" s="55">
        <v>0.0</v>
      </c>
      <c r="V21" s="55">
        <v>0.0</v>
      </c>
      <c r="W21" s="55">
        <v>0.0</v>
      </c>
      <c r="X21" s="55">
        <f t="shared" ref="X21:Y21" si="18">S21+V21</f>
        <v>0</v>
      </c>
      <c r="Y21" s="55">
        <f t="shared" si="18"/>
        <v>0</v>
      </c>
      <c r="Z21" s="55">
        <f t="shared" si="3"/>
        <v>2</v>
      </c>
      <c r="AA21" s="55">
        <f t="shared" si="4"/>
        <v>2</v>
      </c>
      <c r="AB21" s="55">
        <v>0.0</v>
      </c>
      <c r="AC21" s="55">
        <v>0.0</v>
      </c>
      <c r="AD21" s="55">
        <v>0.0</v>
      </c>
      <c r="AE21" s="55">
        <v>0.0</v>
      </c>
      <c r="AF21" s="55">
        <v>0.0</v>
      </c>
      <c r="AG21" s="55">
        <v>0.0</v>
      </c>
      <c r="AH21" s="57"/>
    </row>
    <row r="22">
      <c r="A22" s="55">
        <v>19.0</v>
      </c>
      <c r="B22" s="56">
        <v>3.0</v>
      </c>
      <c r="C22" s="55">
        <v>0.0</v>
      </c>
      <c r="D22" s="55">
        <v>1.0</v>
      </c>
      <c r="E22" s="55">
        <v>0.0</v>
      </c>
      <c r="F22" s="55">
        <v>0.0</v>
      </c>
      <c r="G22" s="55">
        <v>2.0</v>
      </c>
      <c r="H22" s="55">
        <v>1.0</v>
      </c>
      <c r="I22" s="55">
        <v>0.0</v>
      </c>
      <c r="J22" s="55">
        <v>0.0</v>
      </c>
      <c r="K22" s="55">
        <v>17.0</v>
      </c>
      <c r="L22" s="55">
        <v>0.0</v>
      </c>
      <c r="M22" s="55">
        <v>0.0</v>
      </c>
      <c r="N22" s="55">
        <v>0.0</v>
      </c>
      <c r="O22" s="55">
        <v>0.0</v>
      </c>
      <c r="P22" s="55">
        <v>0.0</v>
      </c>
      <c r="Q22" s="55">
        <v>0.0</v>
      </c>
      <c r="R22" s="55">
        <v>0.0</v>
      </c>
      <c r="S22" s="55">
        <v>0.0</v>
      </c>
      <c r="T22" s="55">
        <v>0.0</v>
      </c>
      <c r="U22" s="55">
        <v>0.0</v>
      </c>
      <c r="V22" s="55">
        <v>2.0</v>
      </c>
      <c r="W22" s="55">
        <v>76.0</v>
      </c>
      <c r="X22" s="55">
        <f t="shared" ref="X22:Y22" si="19">S22+V22</f>
        <v>2</v>
      </c>
      <c r="Y22" s="55">
        <f t="shared" si="19"/>
        <v>76</v>
      </c>
      <c r="Z22" s="55">
        <f t="shared" si="3"/>
        <v>3</v>
      </c>
      <c r="AA22" s="55">
        <f t="shared" si="4"/>
        <v>3</v>
      </c>
      <c r="AB22" s="55">
        <v>0.0</v>
      </c>
      <c r="AC22" s="55">
        <v>0.0</v>
      </c>
      <c r="AD22" s="55">
        <v>0.0</v>
      </c>
      <c r="AE22" s="55">
        <v>0.0</v>
      </c>
      <c r="AF22" s="55">
        <v>0.0</v>
      </c>
      <c r="AG22" s="55">
        <v>0.0</v>
      </c>
      <c r="AH22" s="55" t="s">
        <v>48</v>
      </c>
    </row>
    <row r="23">
      <c r="A23" s="55">
        <v>20.0</v>
      </c>
      <c r="B23" s="56">
        <v>3.0</v>
      </c>
      <c r="C23" s="55">
        <v>0.0</v>
      </c>
      <c r="D23" s="55">
        <v>0.0</v>
      </c>
      <c r="E23" s="55">
        <v>0.0</v>
      </c>
      <c r="F23" s="55">
        <v>0.0</v>
      </c>
      <c r="G23" s="55">
        <v>1.0</v>
      </c>
      <c r="H23" s="55">
        <v>3.0</v>
      </c>
      <c r="I23" s="55">
        <v>0.0</v>
      </c>
      <c r="J23" s="55">
        <v>0.0</v>
      </c>
      <c r="K23" s="55">
        <v>24.0</v>
      </c>
      <c r="L23" s="55">
        <v>0.0</v>
      </c>
      <c r="M23" s="55">
        <v>0.0</v>
      </c>
      <c r="N23" s="55">
        <v>0.0</v>
      </c>
      <c r="O23" s="55">
        <v>0.0</v>
      </c>
      <c r="P23" s="55">
        <v>0.0</v>
      </c>
      <c r="Q23" s="55">
        <v>0.0</v>
      </c>
      <c r="R23" s="55">
        <v>0.0</v>
      </c>
      <c r="S23" s="55">
        <v>0.0</v>
      </c>
      <c r="T23" s="55">
        <v>0.0</v>
      </c>
      <c r="U23" s="55">
        <v>0.0</v>
      </c>
      <c r="V23" s="55">
        <v>1.0</v>
      </c>
      <c r="W23" s="55">
        <v>25.0</v>
      </c>
      <c r="X23" s="55">
        <f t="shared" ref="X23:Y23" si="20">S23+V23</f>
        <v>1</v>
      </c>
      <c r="Y23" s="55">
        <f t="shared" si="20"/>
        <v>25</v>
      </c>
      <c r="Z23" s="55">
        <f t="shared" si="3"/>
        <v>4</v>
      </c>
      <c r="AA23" s="55">
        <f t="shared" si="4"/>
        <v>4</v>
      </c>
      <c r="AB23" s="55">
        <v>0.0</v>
      </c>
      <c r="AC23" s="55">
        <v>0.0</v>
      </c>
      <c r="AD23" s="55">
        <v>0.0</v>
      </c>
      <c r="AE23" s="55">
        <v>0.0</v>
      </c>
      <c r="AF23" s="55">
        <v>0.0</v>
      </c>
      <c r="AG23" s="55">
        <v>0.0</v>
      </c>
      <c r="AH23" s="57"/>
    </row>
    <row r="24">
      <c r="A24" s="55">
        <v>21.0</v>
      </c>
      <c r="B24" s="56">
        <v>3.0</v>
      </c>
      <c r="C24" s="55">
        <v>0.0</v>
      </c>
      <c r="D24" s="55">
        <v>0.0</v>
      </c>
      <c r="E24" s="55">
        <v>0.0</v>
      </c>
      <c r="F24" s="55">
        <v>1.0</v>
      </c>
      <c r="G24" s="55">
        <v>3.0</v>
      </c>
      <c r="H24" s="55">
        <v>3.0</v>
      </c>
      <c r="I24" s="55">
        <v>0.0</v>
      </c>
      <c r="J24" s="55">
        <v>0.0</v>
      </c>
      <c r="K24" s="55">
        <v>39.0</v>
      </c>
      <c r="L24" s="55">
        <v>0.0</v>
      </c>
      <c r="M24" s="55">
        <v>0.0</v>
      </c>
      <c r="N24" s="55">
        <v>0.0</v>
      </c>
      <c r="O24" s="55">
        <v>0.0</v>
      </c>
      <c r="P24" s="55">
        <v>0.0</v>
      </c>
      <c r="Q24" s="55">
        <v>0.0</v>
      </c>
      <c r="R24" s="55">
        <v>0.0</v>
      </c>
      <c r="S24" s="55">
        <v>0.0</v>
      </c>
      <c r="T24" s="55">
        <v>0.0</v>
      </c>
      <c r="U24" s="55">
        <v>0.0</v>
      </c>
      <c r="V24" s="55">
        <v>3.0</v>
      </c>
      <c r="W24" s="55">
        <v>140.0</v>
      </c>
      <c r="X24" s="55">
        <f t="shared" ref="X24:Y24" si="21">S24+V24</f>
        <v>3</v>
      </c>
      <c r="Y24" s="55">
        <f t="shared" si="21"/>
        <v>140</v>
      </c>
      <c r="Z24" s="55">
        <f t="shared" si="3"/>
        <v>6</v>
      </c>
      <c r="AA24" s="55">
        <f t="shared" si="4"/>
        <v>6</v>
      </c>
      <c r="AB24" s="55">
        <v>2.0</v>
      </c>
      <c r="AC24" s="55">
        <v>2.0</v>
      </c>
      <c r="AD24" s="55">
        <v>0.0</v>
      </c>
      <c r="AE24" s="55">
        <v>0.0</v>
      </c>
      <c r="AF24" s="55">
        <v>0.0</v>
      </c>
      <c r="AG24" s="55">
        <v>0.0</v>
      </c>
      <c r="AH24" s="57"/>
    </row>
    <row r="25">
      <c r="A25" s="55">
        <v>22.0</v>
      </c>
      <c r="B25" s="56">
        <v>3.0</v>
      </c>
      <c r="C25" s="55">
        <v>0.0</v>
      </c>
      <c r="D25" s="55">
        <v>1.0</v>
      </c>
      <c r="E25" s="55">
        <v>0.0</v>
      </c>
      <c r="F25" s="55">
        <v>0.0</v>
      </c>
      <c r="G25" s="55">
        <v>0.0</v>
      </c>
      <c r="H25" s="55">
        <v>0.0</v>
      </c>
      <c r="I25" s="55">
        <v>0.0</v>
      </c>
      <c r="J25" s="55">
        <v>0.0</v>
      </c>
      <c r="K25" s="55">
        <v>0.0</v>
      </c>
      <c r="L25" s="55">
        <v>0.0</v>
      </c>
      <c r="M25" s="55">
        <v>0.0</v>
      </c>
      <c r="N25" s="55">
        <v>0.0</v>
      </c>
      <c r="O25" s="55">
        <v>0.0</v>
      </c>
      <c r="P25" s="55">
        <v>0.0</v>
      </c>
      <c r="Q25" s="55">
        <v>0.0</v>
      </c>
      <c r="R25" s="55">
        <v>0.0</v>
      </c>
      <c r="S25" s="55">
        <v>2.0</v>
      </c>
      <c r="T25" s="55">
        <v>389.0</v>
      </c>
      <c r="U25" s="55">
        <v>389.0</v>
      </c>
      <c r="V25" s="55">
        <v>4.0</v>
      </c>
      <c r="W25" s="55">
        <v>140.0</v>
      </c>
      <c r="X25" s="55">
        <f t="shared" ref="X25:Y25" si="22">S25+V25</f>
        <v>6</v>
      </c>
      <c r="Y25" s="55">
        <f t="shared" si="22"/>
        <v>529</v>
      </c>
      <c r="Z25" s="55">
        <f t="shared" si="3"/>
        <v>0</v>
      </c>
      <c r="AA25" s="55">
        <f t="shared" si="4"/>
        <v>0</v>
      </c>
      <c r="AB25" s="55">
        <v>2.0</v>
      </c>
      <c r="AC25" s="55">
        <v>2.0</v>
      </c>
      <c r="AD25" s="55">
        <v>0.0</v>
      </c>
      <c r="AE25" s="55">
        <v>0.0</v>
      </c>
      <c r="AF25" s="55">
        <v>0.0</v>
      </c>
      <c r="AG25" s="55">
        <v>0.0</v>
      </c>
      <c r="AH25" s="55" t="s">
        <v>49</v>
      </c>
    </row>
    <row r="26">
      <c r="A26" s="55">
        <v>23.0</v>
      </c>
      <c r="B26" s="56">
        <v>3.0</v>
      </c>
      <c r="C26" s="55">
        <v>0.0</v>
      </c>
      <c r="D26" s="55">
        <v>1.0</v>
      </c>
      <c r="E26" s="55">
        <v>0.0</v>
      </c>
      <c r="F26" s="55">
        <v>0.0</v>
      </c>
      <c r="G26" s="55">
        <v>0.0</v>
      </c>
      <c r="H26" s="55">
        <v>0.0</v>
      </c>
      <c r="I26" s="55">
        <v>0.0</v>
      </c>
      <c r="J26" s="55">
        <v>0.0</v>
      </c>
      <c r="K26" s="55">
        <v>0.0</v>
      </c>
      <c r="L26" s="55">
        <v>0.0</v>
      </c>
      <c r="M26" s="55">
        <v>0.0</v>
      </c>
      <c r="N26" s="55">
        <v>0.0</v>
      </c>
      <c r="O26" s="55">
        <v>0.0</v>
      </c>
      <c r="P26" s="55">
        <v>0.0</v>
      </c>
      <c r="Q26" s="55">
        <v>0.0</v>
      </c>
      <c r="R26" s="55">
        <v>0.0</v>
      </c>
      <c r="S26" s="55">
        <v>1.0</v>
      </c>
      <c r="T26" s="55">
        <v>300.0</v>
      </c>
      <c r="U26" s="55">
        <v>300.0</v>
      </c>
      <c r="V26" s="55">
        <v>2.0</v>
      </c>
      <c r="W26" s="55">
        <v>115.0</v>
      </c>
      <c r="X26" s="55">
        <f t="shared" ref="X26:Y26" si="23">S26+V26</f>
        <v>3</v>
      </c>
      <c r="Y26" s="55">
        <f t="shared" si="23"/>
        <v>415</v>
      </c>
      <c r="Z26" s="55">
        <v>0.0</v>
      </c>
      <c r="AA26" s="55">
        <v>0.0</v>
      </c>
      <c r="AB26" s="55">
        <v>1.0</v>
      </c>
      <c r="AC26" s="55">
        <v>1.0</v>
      </c>
      <c r="AD26" s="55">
        <v>0.0</v>
      </c>
      <c r="AE26" s="55">
        <v>0.0</v>
      </c>
      <c r="AF26" s="55">
        <v>0.0</v>
      </c>
      <c r="AG26" s="55">
        <v>0.0</v>
      </c>
      <c r="AH26" s="55" t="s">
        <v>50</v>
      </c>
    </row>
    <row r="27">
      <c r="A27" s="55">
        <v>24.0</v>
      </c>
      <c r="B27" s="56">
        <v>3.0</v>
      </c>
      <c r="C27" s="55">
        <v>0.0</v>
      </c>
      <c r="D27" s="55">
        <v>0.0</v>
      </c>
      <c r="E27" s="55">
        <v>0.0</v>
      </c>
      <c r="F27" s="55">
        <v>0.0</v>
      </c>
      <c r="G27" s="55">
        <v>3.0</v>
      </c>
      <c r="H27" s="55">
        <v>1.0</v>
      </c>
      <c r="I27" s="55">
        <v>0.0</v>
      </c>
      <c r="J27" s="55">
        <v>0.0</v>
      </c>
      <c r="K27" s="55">
        <v>22.0</v>
      </c>
      <c r="L27" s="55">
        <v>0.0</v>
      </c>
      <c r="M27" s="55">
        <v>0.0</v>
      </c>
      <c r="N27" s="55">
        <v>0.0</v>
      </c>
      <c r="O27" s="55">
        <v>0.0</v>
      </c>
      <c r="P27" s="55">
        <v>0.0</v>
      </c>
      <c r="Q27" s="55">
        <v>1.0</v>
      </c>
      <c r="R27" s="55">
        <v>0.0</v>
      </c>
      <c r="S27" s="55">
        <v>0.0</v>
      </c>
      <c r="T27" s="55">
        <v>0.0</v>
      </c>
      <c r="U27" s="55">
        <v>0.0</v>
      </c>
      <c r="V27" s="55">
        <v>0.0</v>
      </c>
      <c r="W27" s="55">
        <v>0.0</v>
      </c>
      <c r="X27" s="55">
        <f t="shared" ref="X27:Y27" si="24">S27+V27</f>
        <v>0</v>
      </c>
      <c r="Y27" s="55">
        <f t="shared" si="24"/>
        <v>0</v>
      </c>
      <c r="Z27" s="55">
        <f t="shared" ref="Z27:Z95" si="26">sum(G27:H27)</f>
        <v>4</v>
      </c>
      <c r="AA27" s="55">
        <f t="shared" ref="AA27:AA95" si="27">sum(G27:H27)</f>
        <v>4</v>
      </c>
      <c r="AB27" s="55">
        <v>0.0</v>
      </c>
      <c r="AC27" s="55">
        <v>0.0</v>
      </c>
      <c r="AD27" s="55">
        <v>0.0</v>
      </c>
      <c r="AE27" s="55">
        <v>0.0</v>
      </c>
      <c r="AF27" s="55">
        <v>0.0</v>
      </c>
      <c r="AG27" s="55">
        <v>0.0</v>
      </c>
      <c r="AH27" s="57"/>
    </row>
    <row r="28">
      <c r="A28" s="55">
        <v>25.0</v>
      </c>
      <c r="B28" s="56">
        <v>3.0</v>
      </c>
      <c r="C28" s="55">
        <v>1.0</v>
      </c>
      <c r="D28" s="55">
        <v>1.0</v>
      </c>
      <c r="E28" s="55">
        <v>0.0</v>
      </c>
      <c r="F28" s="55">
        <v>0.0</v>
      </c>
      <c r="G28" s="55">
        <v>4.0</v>
      </c>
      <c r="H28" s="55">
        <v>4.0</v>
      </c>
      <c r="I28" s="55">
        <v>0.0</v>
      </c>
      <c r="J28" s="55">
        <v>0.0</v>
      </c>
      <c r="K28" s="55">
        <v>53.0</v>
      </c>
      <c r="L28" s="55">
        <v>0.0</v>
      </c>
      <c r="M28" s="55">
        <v>0.0</v>
      </c>
      <c r="N28" s="55">
        <v>0.0</v>
      </c>
      <c r="O28" s="55">
        <v>0.0</v>
      </c>
      <c r="P28" s="55">
        <v>0.0</v>
      </c>
      <c r="Q28" s="55">
        <v>0.0</v>
      </c>
      <c r="R28" s="55">
        <v>0.0</v>
      </c>
      <c r="S28" s="55">
        <v>0.0</v>
      </c>
      <c r="T28" s="55">
        <v>0.0</v>
      </c>
      <c r="U28" s="55">
        <v>0.0</v>
      </c>
      <c r="V28" s="55">
        <v>2.0</v>
      </c>
      <c r="W28" s="55">
        <v>100.0</v>
      </c>
      <c r="X28" s="55">
        <f t="shared" ref="X28:Y28" si="25">S28+V28</f>
        <v>2</v>
      </c>
      <c r="Y28" s="55">
        <f t="shared" si="25"/>
        <v>100</v>
      </c>
      <c r="Z28" s="55">
        <f t="shared" si="26"/>
        <v>8</v>
      </c>
      <c r="AA28" s="55">
        <f t="shared" si="27"/>
        <v>8</v>
      </c>
      <c r="AB28" s="55">
        <v>0.0</v>
      </c>
      <c r="AC28" s="55">
        <v>0.0</v>
      </c>
      <c r="AD28" s="55">
        <v>0.0</v>
      </c>
      <c r="AE28" s="55">
        <v>0.0</v>
      </c>
      <c r="AF28" s="55">
        <v>0.0</v>
      </c>
      <c r="AG28" s="55">
        <v>0.0</v>
      </c>
      <c r="AH28" s="55" t="s">
        <v>51</v>
      </c>
    </row>
    <row r="29">
      <c r="A29" s="55">
        <v>26.0</v>
      </c>
      <c r="B29" s="56">
        <v>3.0</v>
      </c>
      <c r="C29" s="55">
        <v>0.0</v>
      </c>
      <c r="D29" s="55">
        <v>0.0</v>
      </c>
      <c r="E29" s="55">
        <v>0.0</v>
      </c>
      <c r="F29" s="55">
        <v>0.0</v>
      </c>
      <c r="G29" s="55">
        <v>6.0</v>
      </c>
      <c r="H29" s="55">
        <v>0.0</v>
      </c>
      <c r="I29" s="55">
        <v>0.0</v>
      </c>
      <c r="J29" s="55">
        <v>0.0</v>
      </c>
      <c r="K29" s="55">
        <v>38.0</v>
      </c>
      <c r="L29" s="55">
        <v>0.0</v>
      </c>
      <c r="M29" s="55">
        <v>0.0</v>
      </c>
      <c r="N29" s="55">
        <v>0.0</v>
      </c>
      <c r="O29" s="55">
        <v>0.0</v>
      </c>
      <c r="P29" s="55">
        <v>0.0</v>
      </c>
      <c r="Q29" s="55">
        <v>0.0</v>
      </c>
      <c r="R29" s="55">
        <v>0.0</v>
      </c>
      <c r="S29" s="55">
        <v>0.0</v>
      </c>
      <c r="T29" s="55">
        <v>0.0</v>
      </c>
      <c r="U29" s="55">
        <v>0.0</v>
      </c>
      <c r="V29" s="55">
        <v>0.0</v>
      </c>
      <c r="W29" s="55">
        <v>0.0</v>
      </c>
      <c r="X29" s="55">
        <f t="shared" ref="X29:Y29" si="28">S29+V29</f>
        <v>0</v>
      </c>
      <c r="Y29" s="55">
        <f t="shared" si="28"/>
        <v>0</v>
      </c>
      <c r="Z29" s="55">
        <f t="shared" si="26"/>
        <v>6</v>
      </c>
      <c r="AA29" s="55">
        <f t="shared" si="27"/>
        <v>6</v>
      </c>
      <c r="AB29" s="55">
        <v>0.0</v>
      </c>
      <c r="AC29" s="55">
        <v>0.0</v>
      </c>
      <c r="AD29" s="55">
        <v>0.0</v>
      </c>
      <c r="AE29" s="55">
        <v>0.0</v>
      </c>
      <c r="AF29" s="55">
        <v>0.0</v>
      </c>
      <c r="AG29" s="55">
        <v>0.0</v>
      </c>
      <c r="AH29" s="57"/>
    </row>
    <row r="30">
      <c r="A30" s="55">
        <v>27.0</v>
      </c>
      <c r="B30" s="56">
        <v>3.0</v>
      </c>
      <c r="C30" s="55">
        <v>0.0</v>
      </c>
      <c r="D30" s="55">
        <v>1.0</v>
      </c>
      <c r="E30" s="55">
        <v>0.0</v>
      </c>
      <c r="F30" s="55">
        <v>0.0</v>
      </c>
      <c r="G30" s="55">
        <v>3.0</v>
      </c>
      <c r="H30" s="55">
        <v>7.0</v>
      </c>
      <c r="I30" s="55">
        <v>0.0</v>
      </c>
      <c r="J30" s="55">
        <v>0.0</v>
      </c>
      <c r="K30" s="55">
        <v>57.0</v>
      </c>
      <c r="L30" s="55">
        <v>0.0</v>
      </c>
      <c r="M30" s="55">
        <v>0.0</v>
      </c>
      <c r="N30" s="55">
        <v>0.0</v>
      </c>
      <c r="O30" s="55">
        <v>0.0</v>
      </c>
      <c r="P30" s="55">
        <v>0.0</v>
      </c>
      <c r="Q30" s="55">
        <v>0.0</v>
      </c>
      <c r="R30" s="55">
        <v>0.0</v>
      </c>
      <c r="S30" s="55">
        <v>0.0</v>
      </c>
      <c r="T30" s="55">
        <v>0.0</v>
      </c>
      <c r="U30" s="55">
        <v>0.0</v>
      </c>
      <c r="V30" s="55">
        <v>0.0</v>
      </c>
      <c r="W30" s="55">
        <v>0.0</v>
      </c>
      <c r="X30" s="55">
        <f t="shared" ref="X30:Y30" si="29">S30+V30</f>
        <v>0</v>
      </c>
      <c r="Y30" s="55">
        <f t="shared" si="29"/>
        <v>0</v>
      </c>
      <c r="Z30" s="55">
        <f t="shared" si="26"/>
        <v>10</v>
      </c>
      <c r="AA30" s="55">
        <f t="shared" si="27"/>
        <v>10</v>
      </c>
      <c r="AB30" s="55">
        <v>1.0</v>
      </c>
      <c r="AC30" s="55">
        <v>1.0</v>
      </c>
      <c r="AD30" s="55">
        <v>0.0</v>
      </c>
      <c r="AE30" s="55">
        <v>0.0</v>
      </c>
      <c r="AF30" s="55">
        <v>0.0</v>
      </c>
      <c r="AG30" s="55">
        <v>0.0</v>
      </c>
      <c r="AH30" s="55" t="s">
        <v>48</v>
      </c>
    </row>
    <row r="31">
      <c r="A31" s="55">
        <v>28.0</v>
      </c>
      <c r="B31" s="56">
        <v>3.0</v>
      </c>
      <c r="C31" s="55">
        <v>0.0</v>
      </c>
      <c r="D31" s="55">
        <v>1.0</v>
      </c>
      <c r="E31" s="55">
        <v>0.0</v>
      </c>
      <c r="F31" s="55">
        <v>0.0</v>
      </c>
      <c r="G31" s="55">
        <v>2.0</v>
      </c>
      <c r="H31" s="55">
        <v>7.0</v>
      </c>
      <c r="I31" s="55">
        <v>0.0</v>
      </c>
      <c r="J31" s="55">
        <v>0.0</v>
      </c>
      <c r="K31" s="55">
        <v>52.0</v>
      </c>
      <c r="L31" s="55">
        <v>0.0</v>
      </c>
      <c r="M31" s="55">
        <v>0.0</v>
      </c>
      <c r="N31" s="55">
        <v>0.0</v>
      </c>
      <c r="O31" s="55">
        <v>0.0</v>
      </c>
      <c r="P31" s="55">
        <v>0.0</v>
      </c>
      <c r="Q31" s="55">
        <v>0.0</v>
      </c>
      <c r="R31" s="55">
        <v>0.0</v>
      </c>
      <c r="S31" s="55">
        <v>0.0</v>
      </c>
      <c r="T31" s="55">
        <v>0.0</v>
      </c>
      <c r="U31" s="55">
        <v>0.0</v>
      </c>
      <c r="V31" s="55">
        <v>2.0</v>
      </c>
      <c r="W31" s="55">
        <v>185.0</v>
      </c>
      <c r="X31" s="55">
        <f t="shared" ref="X31:Y31" si="30">S31+V31</f>
        <v>2</v>
      </c>
      <c r="Y31" s="55">
        <f t="shared" si="30"/>
        <v>185</v>
      </c>
      <c r="Z31" s="55">
        <f t="shared" si="26"/>
        <v>9</v>
      </c>
      <c r="AA31" s="55">
        <f t="shared" si="27"/>
        <v>9</v>
      </c>
      <c r="AB31" s="55">
        <v>0.0</v>
      </c>
      <c r="AC31" s="55">
        <v>0.0</v>
      </c>
      <c r="AD31" s="55">
        <v>0.0</v>
      </c>
      <c r="AE31" s="55">
        <v>0.0</v>
      </c>
      <c r="AF31" s="55">
        <v>0.0</v>
      </c>
      <c r="AG31" s="55">
        <v>0.0</v>
      </c>
      <c r="AH31" s="55" t="s">
        <v>48</v>
      </c>
    </row>
    <row r="32">
      <c r="A32" s="55">
        <v>29.0</v>
      </c>
      <c r="B32" s="56">
        <v>3.0</v>
      </c>
      <c r="C32" s="55">
        <v>0.0</v>
      </c>
      <c r="D32" s="55">
        <v>4.0</v>
      </c>
      <c r="E32" s="55">
        <v>0.0</v>
      </c>
      <c r="F32" s="55">
        <v>0.0</v>
      </c>
      <c r="G32" s="55">
        <v>0.0</v>
      </c>
      <c r="H32" s="55">
        <v>0.0</v>
      </c>
      <c r="I32" s="55">
        <v>0.0</v>
      </c>
      <c r="J32" s="55">
        <v>0.0</v>
      </c>
      <c r="K32" s="55">
        <v>0.0</v>
      </c>
      <c r="L32" s="55">
        <v>0.0</v>
      </c>
      <c r="M32" s="55">
        <v>0.0</v>
      </c>
      <c r="N32" s="55">
        <v>0.0</v>
      </c>
      <c r="O32" s="55">
        <v>0.0</v>
      </c>
      <c r="P32" s="55">
        <v>0.0</v>
      </c>
      <c r="Q32" s="55">
        <v>0.0</v>
      </c>
      <c r="R32" s="55">
        <v>0.0</v>
      </c>
      <c r="S32" s="55">
        <v>0.0</v>
      </c>
      <c r="T32" s="55">
        <v>0.0</v>
      </c>
      <c r="U32" s="55">
        <v>0.0</v>
      </c>
      <c r="V32" s="55">
        <v>1.0</v>
      </c>
      <c r="W32" s="55">
        <v>56.0</v>
      </c>
      <c r="X32" s="55">
        <f t="shared" ref="X32:Y32" si="31">S32+V32</f>
        <v>1</v>
      </c>
      <c r="Y32" s="55">
        <f t="shared" si="31"/>
        <v>56</v>
      </c>
      <c r="Z32" s="55">
        <f t="shared" si="26"/>
        <v>0</v>
      </c>
      <c r="AA32" s="55">
        <f t="shared" si="27"/>
        <v>0</v>
      </c>
      <c r="AB32" s="55">
        <v>1.0</v>
      </c>
      <c r="AC32" s="55">
        <v>1.0</v>
      </c>
      <c r="AD32" s="55">
        <v>0.0</v>
      </c>
      <c r="AE32" s="55">
        <v>0.0</v>
      </c>
      <c r="AF32" s="55">
        <v>0.0</v>
      </c>
      <c r="AG32" s="55">
        <v>0.0</v>
      </c>
      <c r="AH32" s="55" t="s">
        <v>52</v>
      </c>
    </row>
    <row r="33">
      <c r="A33" s="55">
        <v>30.0</v>
      </c>
      <c r="B33" s="56">
        <v>3.0</v>
      </c>
      <c r="C33" s="55">
        <v>0.0</v>
      </c>
      <c r="D33" s="55">
        <v>1.0</v>
      </c>
      <c r="E33" s="55">
        <v>0.0</v>
      </c>
      <c r="F33" s="55">
        <v>0.0</v>
      </c>
      <c r="G33" s="55">
        <v>0.0</v>
      </c>
      <c r="H33" s="55">
        <v>0.0</v>
      </c>
      <c r="I33" s="55">
        <v>0.0</v>
      </c>
      <c r="J33" s="55">
        <v>0.0</v>
      </c>
      <c r="K33" s="55">
        <v>0.0</v>
      </c>
      <c r="L33" s="55">
        <v>0.0</v>
      </c>
      <c r="M33" s="55">
        <v>0.0</v>
      </c>
      <c r="N33" s="55">
        <v>0.0</v>
      </c>
      <c r="O33" s="55">
        <v>0.0</v>
      </c>
      <c r="P33" s="55">
        <v>0.0</v>
      </c>
      <c r="Q33" s="55">
        <v>0.0</v>
      </c>
      <c r="R33" s="55">
        <v>0.0</v>
      </c>
      <c r="S33" s="55">
        <v>0.0</v>
      </c>
      <c r="T33" s="55">
        <v>0.0</v>
      </c>
      <c r="U33" s="55">
        <v>0.0</v>
      </c>
      <c r="V33" s="55">
        <v>0.0</v>
      </c>
      <c r="W33" s="55">
        <v>0.0</v>
      </c>
      <c r="X33" s="55">
        <f t="shared" ref="X33:Y33" si="32">S33+V33</f>
        <v>0</v>
      </c>
      <c r="Y33" s="55">
        <f t="shared" si="32"/>
        <v>0</v>
      </c>
      <c r="Z33" s="55">
        <f t="shared" si="26"/>
        <v>0</v>
      </c>
      <c r="AA33" s="55">
        <f t="shared" si="27"/>
        <v>0</v>
      </c>
      <c r="AB33" s="55">
        <v>0.0</v>
      </c>
      <c r="AC33" s="55">
        <v>0.0</v>
      </c>
      <c r="AD33" s="55">
        <v>0.0</v>
      </c>
      <c r="AE33" s="55">
        <v>0.0</v>
      </c>
      <c r="AF33" s="55">
        <v>0.0</v>
      </c>
      <c r="AG33" s="55">
        <v>0.0</v>
      </c>
      <c r="AH33" s="55" t="s">
        <v>53</v>
      </c>
    </row>
    <row r="34">
      <c r="A34" s="55">
        <v>31.0</v>
      </c>
      <c r="B34" s="56">
        <v>3.0</v>
      </c>
      <c r="C34" s="55">
        <v>0.0</v>
      </c>
      <c r="D34" s="55">
        <v>1.0</v>
      </c>
      <c r="E34" s="55">
        <v>1.0</v>
      </c>
      <c r="F34" s="55">
        <v>0.0</v>
      </c>
      <c r="G34" s="55">
        <v>2.0</v>
      </c>
      <c r="H34" s="55">
        <v>1.0</v>
      </c>
      <c r="I34" s="55">
        <v>0.0</v>
      </c>
      <c r="J34" s="55">
        <v>0.0</v>
      </c>
      <c r="K34" s="55">
        <v>12.0</v>
      </c>
      <c r="L34" s="55">
        <v>1.0</v>
      </c>
      <c r="M34" s="55">
        <v>1.0</v>
      </c>
      <c r="N34" s="55">
        <v>25.0</v>
      </c>
      <c r="O34" s="55">
        <v>0.0</v>
      </c>
      <c r="P34" s="55">
        <v>0.0</v>
      </c>
      <c r="Q34" s="55">
        <v>0.0</v>
      </c>
      <c r="R34" s="55">
        <v>0.0</v>
      </c>
      <c r="S34" s="55">
        <v>0.0</v>
      </c>
      <c r="T34" s="55">
        <v>0.0</v>
      </c>
      <c r="U34" s="55">
        <v>0.0</v>
      </c>
      <c r="V34" s="55">
        <v>1.0</v>
      </c>
      <c r="W34" s="55">
        <v>30.0</v>
      </c>
      <c r="X34" s="55">
        <f t="shared" ref="X34:Y34" si="33">S34+V34</f>
        <v>1</v>
      </c>
      <c r="Y34" s="55">
        <f t="shared" si="33"/>
        <v>30</v>
      </c>
      <c r="Z34" s="55">
        <f t="shared" si="26"/>
        <v>3</v>
      </c>
      <c r="AA34" s="55">
        <f t="shared" si="27"/>
        <v>3</v>
      </c>
      <c r="AB34" s="55">
        <v>1.0</v>
      </c>
      <c r="AC34" s="55">
        <v>1.0</v>
      </c>
      <c r="AD34" s="55">
        <v>0.0</v>
      </c>
      <c r="AE34" s="55">
        <v>0.0</v>
      </c>
      <c r="AF34" s="55">
        <v>0.0</v>
      </c>
      <c r="AG34" s="55">
        <v>0.0</v>
      </c>
      <c r="AH34" s="55" t="s">
        <v>54</v>
      </c>
    </row>
    <row r="35">
      <c r="A35" s="55">
        <v>1.0</v>
      </c>
      <c r="B35" s="58">
        <v>4.0</v>
      </c>
      <c r="C35" s="55">
        <v>0.0</v>
      </c>
      <c r="D35" s="55">
        <v>1.0</v>
      </c>
      <c r="E35" s="55">
        <v>0.0</v>
      </c>
      <c r="F35" s="55">
        <v>0.0</v>
      </c>
      <c r="G35" s="55">
        <v>1.0</v>
      </c>
      <c r="H35" s="55">
        <v>8.0</v>
      </c>
      <c r="I35" s="55">
        <v>0.0</v>
      </c>
      <c r="J35" s="55">
        <v>1.0</v>
      </c>
      <c r="K35" s="55">
        <v>62.0</v>
      </c>
      <c r="L35" s="55">
        <v>1.0</v>
      </c>
      <c r="M35" s="55">
        <v>1.0</v>
      </c>
      <c r="N35" s="55">
        <v>50.0</v>
      </c>
      <c r="O35" s="55">
        <v>0.0</v>
      </c>
      <c r="P35" s="55">
        <v>0.0</v>
      </c>
      <c r="Q35" s="55">
        <v>0.0</v>
      </c>
      <c r="R35" s="55">
        <v>0.0</v>
      </c>
      <c r="S35" s="55">
        <v>0.0</v>
      </c>
      <c r="T35" s="55">
        <v>0.0</v>
      </c>
      <c r="U35" s="55">
        <v>0.0</v>
      </c>
      <c r="V35" s="55">
        <v>1.0</v>
      </c>
      <c r="W35" s="55">
        <v>25.0</v>
      </c>
      <c r="X35" s="55">
        <f t="shared" ref="X35:Y35" si="34">S35+V35</f>
        <v>1</v>
      </c>
      <c r="Y35" s="55">
        <f t="shared" si="34"/>
        <v>25</v>
      </c>
      <c r="Z35" s="55">
        <f t="shared" si="26"/>
        <v>9</v>
      </c>
      <c r="AA35" s="55">
        <f t="shared" si="27"/>
        <v>9</v>
      </c>
      <c r="AB35" s="55">
        <v>1.0</v>
      </c>
      <c r="AC35" s="55">
        <v>1.0</v>
      </c>
      <c r="AD35" s="55">
        <v>0.0</v>
      </c>
      <c r="AE35" s="55">
        <v>0.0</v>
      </c>
      <c r="AF35" s="55">
        <v>0.0</v>
      </c>
      <c r="AG35" s="55">
        <v>0.0</v>
      </c>
      <c r="AH35" s="55" t="s">
        <v>55</v>
      </c>
    </row>
    <row r="36">
      <c r="A36" s="55">
        <v>2.0</v>
      </c>
      <c r="B36" s="58">
        <v>4.0</v>
      </c>
      <c r="C36" s="55">
        <v>0.0</v>
      </c>
      <c r="D36" s="55">
        <v>0.0</v>
      </c>
      <c r="E36" s="55">
        <v>0.0</v>
      </c>
      <c r="F36" s="55">
        <v>0.0</v>
      </c>
      <c r="G36" s="55">
        <v>4.0</v>
      </c>
      <c r="H36" s="55">
        <v>3.0</v>
      </c>
      <c r="I36" s="55">
        <v>0.0</v>
      </c>
      <c r="J36" s="55">
        <v>0.0</v>
      </c>
      <c r="K36" s="55">
        <v>42.0</v>
      </c>
      <c r="L36" s="55">
        <v>0.0</v>
      </c>
      <c r="M36" s="55">
        <v>0.0</v>
      </c>
      <c r="N36" s="55">
        <v>0.0</v>
      </c>
      <c r="O36" s="55">
        <v>0.0</v>
      </c>
      <c r="P36" s="55">
        <v>0.0</v>
      </c>
      <c r="Q36" s="55">
        <v>0.0</v>
      </c>
      <c r="R36" s="55">
        <v>0.0</v>
      </c>
      <c r="S36" s="55">
        <v>0.0</v>
      </c>
      <c r="T36" s="55">
        <v>0.0</v>
      </c>
      <c r="U36" s="55">
        <v>0.0</v>
      </c>
      <c r="V36" s="55">
        <v>0.0</v>
      </c>
      <c r="W36" s="55">
        <v>0.0</v>
      </c>
      <c r="X36" s="55">
        <f t="shared" ref="X36:Y36" si="35">S36+V36</f>
        <v>0</v>
      </c>
      <c r="Y36" s="55">
        <f t="shared" si="35"/>
        <v>0</v>
      </c>
      <c r="Z36" s="55">
        <f t="shared" si="26"/>
        <v>7</v>
      </c>
      <c r="AA36" s="55">
        <f t="shared" si="27"/>
        <v>7</v>
      </c>
      <c r="AB36" s="55">
        <v>0.0</v>
      </c>
      <c r="AC36" s="55">
        <v>0.0</v>
      </c>
      <c r="AD36" s="55">
        <v>0.0</v>
      </c>
      <c r="AE36" s="55">
        <v>0.0</v>
      </c>
      <c r="AF36" s="55">
        <v>0.0</v>
      </c>
      <c r="AG36" s="55">
        <v>0.0</v>
      </c>
      <c r="AH36" s="57"/>
    </row>
    <row r="37">
      <c r="A37" s="55">
        <v>3.0</v>
      </c>
      <c r="B37" s="58">
        <v>4.0</v>
      </c>
      <c r="C37" s="55">
        <v>0.0</v>
      </c>
      <c r="D37" s="55">
        <v>2.0</v>
      </c>
      <c r="E37" s="55">
        <v>0.0</v>
      </c>
      <c r="F37" s="55">
        <v>0.0</v>
      </c>
      <c r="G37" s="55">
        <v>10.0</v>
      </c>
      <c r="H37" s="55">
        <v>1.0</v>
      </c>
      <c r="I37" s="55">
        <v>0.0</v>
      </c>
      <c r="J37" s="55">
        <v>1.0</v>
      </c>
      <c r="K37" s="55">
        <v>76.0</v>
      </c>
      <c r="L37" s="55">
        <v>1.0</v>
      </c>
      <c r="M37" s="55">
        <v>1.0</v>
      </c>
      <c r="N37" s="55">
        <v>50.0</v>
      </c>
      <c r="O37" s="55">
        <v>0.0</v>
      </c>
      <c r="P37" s="55">
        <v>0.0</v>
      </c>
      <c r="Q37" s="55">
        <v>0.0</v>
      </c>
      <c r="R37" s="55">
        <v>0.0</v>
      </c>
      <c r="S37" s="55">
        <v>0.0</v>
      </c>
      <c r="T37" s="55">
        <v>0.0</v>
      </c>
      <c r="U37" s="55">
        <v>0.0</v>
      </c>
      <c r="V37" s="55">
        <v>0.0</v>
      </c>
      <c r="W37" s="55">
        <v>0.0</v>
      </c>
      <c r="X37" s="55">
        <f t="shared" ref="X37:Y37" si="36">S37+V37</f>
        <v>0</v>
      </c>
      <c r="Y37" s="55">
        <f t="shared" si="36"/>
        <v>0</v>
      </c>
      <c r="Z37" s="55">
        <f t="shared" si="26"/>
        <v>11</v>
      </c>
      <c r="AA37" s="55">
        <f t="shared" si="27"/>
        <v>11</v>
      </c>
      <c r="AB37" s="55">
        <v>0.0</v>
      </c>
      <c r="AC37" s="55">
        <v>0.0</v>
      </c>
      <c r="AD37" s="55">
        <v>0.0</v>
      </c>
      <c r="AE37" s="55">
        <v>0.0</v>
      </c>
      <c r="AF37" s="55">
        <v>0.0</v>
      </c>
      <c r="AG37" s="55">
        <v>0.0</v>
      </c>
      <c r="AH37" s="55" t="s">
        <v>56</v>
      </c>
    </row>
    <row r="38">
      <c r="A38" s="55">
        <v>4.0</v>
      </c>
      <c r="B38" s="58">
        <v>4.0</v>
      </c>
      <c r="C38" s="55">
        <v>0.0</v>
      </c>
      <c r="D38" s="55">
        <v>2.0</v>
      </c>
      <c r="E38" s="55">
        <v>0.0</v>
      </c>
      <c r="F38" s="55">
        <v>0.0</v>
      </c>
      <c r="G38" s="55">
        <v>2.0</v>
      </c>
      <c r="H38" s="55">
        <v>4.0</v>
      </c>
      <c r="I38" s="55">
        <v>0.0</v>
      </c>
      <c r="J38" s="55">
        <v>0.0</v>
      </c>
      <c r="K38" s="55">
        <v>40.0</v>
      </c>
      <c r="L38" s="55">
        <v>0.0</v>
      </c>
      <c r="M38" s="55">
        <v>0.0</v>
      </c>
      <c r="N38" s="55">
        <v>0.0</v>
      </c>
      <c r="O38" s="55">
        <v>0.0</v>
      </c>
      <c r="P38" s="55">
        <v>0.0</v>
      </c>
      <c r="Q38" s="55">
        <v>0.0</v>
      </c>
      <c r="R38" s="55">
        <v>0.0</v>
      </c>
      <c r="S38" s="55">
        <v>0.0</v>
      </c>
      <c r="T38" s="55">
        <v>0.0</v>
      </c>
      <c r="U38" s="55">
        <v>0.0</v>
      </c>
      <c r="V38" s="55">
        <v>1.0</v>
      </c>
      <c r="W38" s="55">
        <v>28.0</v>
      </c>
      <c r="X38" s="55">
        <f t="shared" ref="X38:Y38" si="37">S38+V38</f>
        <v>1</v>
      </c>
      <c r="Y38" s="55">
        <f t="shared" si="37"/>
        <v>28</v>
      </c>
      <c r="Z38" s="55">
        <f t="shared" si="26"/>
        <v>6</v>
      </c>
      <c r="AA38" s="55">
        <f t="shared" si="27"/>
        <v>6</v>
      </c>
      <c r="AB38" s="55">
        <v>2.0</v>
      </c>
      <c r="AC38" s="55">
        <v>2.0</v>
      </c>
      <c r="AD38" s="55">
        <v>0.0</v>
      </c>
      <c r="AE38" s="55">
        <v>0.0</v>
      </c>
      <c r="AF38" s="55">
        <v>0.0</v>
      </c>
      <c r="AG38" s="55">
        <v>0.0</v>
      </c>
      <c r="AH38" s="55" t="s">
        <v>56</v>
      </c>
    </row>
    <row r="39">
      <c r="A39" s="55">
        <v>5.0</v>
      </c>
      <c r="B39" s="58">
        <v>4.0</v>
      </c>
      <c r="C39" s="55">
        <v>0.0</v>
      </c>
      <c r="D39" s="55">
        <v>1.0</v>
      </c>
      <c r="E39" s="55">
        <v>0.0</v>
      </c>
      <c r="F39" s="55">
        <v>0.0</v>
      </c>
      <c r="G39" s="55">
        <v>5.0</v>
      </c>
      <c r="H39" s="55">
        <v>3.0</v>
      </c>
      <c r="I39" s="55">
        <v>0.0</v>
      </c>
      <c r="J39" s="55">
        <v>0.0</v>
      </c>
      <c r="K39" s="55">
        <v>53.0</v>
      </c>
      <c r="L39" s="55">
        <v>0.0</v>
      </c>
      <c r="M39" s="55">
        <v>0.0</v>
      </c>
      <c r="N39" s="55">
        <v>0.0</v>
      </c>
      <c r="O39" s="55">
        <v>0.0</v>
      </c>
      <c r="P39" s="55">
        <v>0.0</v>
      </c>
      <c r="Q39" s="55">
        <v>0.0</v>
      </c>
      <c r="R39" s="55">
        <v>0.0</v>
      </c>
      <c r="S39" s="55">
        <v>0.0</v>
      </c>
      <c r="T39" s="55">
        <v>0.0</v>
      </c>
      <c r="U39" s="55">
        <v>0.0</v>
      </c>
      <c r="V39" s="55">
        <v>2.0</v>
      </c>
      <c r="W39" s="55">
        <v>105.0</v>
      </c>
      <c r="X39" s="55">
        <f t="shared" ref="X39:Y39" si="38">S39+V39</f>
        <v>2</v>
      </c>
      <c r="Y39" s="55">
        <f t="shared" si="38"/>
        <v>105</v>
      </c>
      <c r="Z39" s="55">
        <f t="shared" si="26"/>
        <v>8</v>
      </c>
      <c r="AA39" s="55">
        <f t="shared" si="27"/>
        <v>8</v>
      </c>
      <c r="AB39" s="55">
        <v>0.0</v>
      </c>
      <c r="AC39" s="55">
        <v>0.0</v>
      </c>
      <c r="AD39" s="55">
        <v>0.0</v>
      </c>
      <c r="AE39" s="55">
        <v>0.0</v>
      </c>
      <c r="AF39" s="55">
        <v>0.0</v>
      </c>
      <c r="AG39" s="55">
        <v>0.0</v>
      </c>
      <c r="AH39" s="55" t="s">
        <v>57</v>
      </c>
    </row>
    <row r="40">
      <c r="A40" s="55">
        <v>6.0</v>
      </c>
      <c r="B40" s="58">
        <v>4.0</v>
      </c>
      <c r="C40" s="55">
        <v>0.0</v>
      </c>
      <c r="D40" s="55">
        <v>0.0</v>
      </c>
      <c r="E40" s="55">
        <v>0.0</v>
      </c>
      <c r="F40" s="55">
        <v>0.0</v>
      </c>
      <c r="G40" s="55">
        <v>0.0</v>
      </c>
      <c r="H40" s="55">
        <v>0.0</v>
      </c>
      <c r="I40" s="55">
        <v>0.0</v>
      </c>
      <c r="J40" s="55">
        <v>0.0</v>
      </c>
      <c r="K40" s="55">
        <v>0.0</v>
      </c>
      <c r="L40" s="55">
        <v>0.0</v>
      </c>
      <c r="M40" s="55">
        <v>0.0</v>
      </c>
      <c r="N40" s="55">
        <v>0.0</v>
      </c>
      <c r="O40" s="55">
        <v>0.0</v>
      </c>
      <c r="P40" s="55">
        <v>0.0</v>
      </c>
      <c r="Q40" s="55">
        <v>0.0</v>
      </c>
      <c r="R40" s="55">
        <v>0.0</v>
      </c>
      <c r="S40" s="55">
        <v>0.0</v>
      </c>
      <c r="T40" s="55">
        <v>0.0</v>
      </c>
      <c r="U40" s="55">
        <v>0.0</v>
      </c>
      <c r="V40" s="55">
        <v>0.0</v>
      </c>
      <c r="W40" s="55">
        <v>0.0</v>
      </c>
      <c r="X40" s="55">
        <f t="shared" ref="X40:Y40" si="39">S40+V40</f>
        <v>0</v>
      </c>
      <c r="Y40" s="55">
        <f t="shared" si="39"/>
        <v>0</v>
      </c>
      <c r="Z40" s="55">
        <f t="shared" si="26"/>
        <v>0</v>
      </c>
      <c r="AA40" s="55">
        <f t="shared" si="27"/>
        <v>0</v>
      </c>
      <c r="AB40" s="55">
        <v>0.0</v>
      </c>
      <c r="AC40" s="55">
        <v>0.0</v>
      </c>
      <c r="AD40" s="55">
        <v>0.0</v>
      </c>
      <c r="AE40" s="55">
        <v>0.0</v>
      </c>
      <c r="AF40" s="55">
        <v>0.0</v>
      </c>
      <c r="AG40" s="55">
        <v>0.0</v>
      </c>
      <c r="AH40" s="57"/>
    </row>
    <row r="41">
      <c r="A41" s="55">
        <v>7.0</v>
      </c>
      <c r="B41" s="58">
        <v>4.0</v>
      </c>
      <c r="C41" s="55">
        <v>0.0</v>
      </c>
      <c r="D41" s="55">
        <v>0.0</v>
      </c>
      <c r="E41" s="55">
        <v>0.0</v>
      </c>
      <c r="F41" s="55">
        <v>0.0</v>
      </c>
      <c r="G41" s="55">
        <v>5.0</v>
      </c>
      <c r="H41" s="55">
        <v>0.0</v>
      </c>
      <c r="I41" s="55">
        <v>0.0</v>
      </c>
      <c r="J41" s="55">
        <v>0.0</v>
      </c>
      <c r="K41" s="55">
        <v>41.0</v>
      </c>
      <c r="L41" s="55">
        <v>0.0</v>
      </c>
      <c r="M41" s="55">
        <v>0.0</v>
      </c>
      <c r="N41" s="55">
        <v>0.0</v>
      </c>
      <c r="O41" s="55">
        <v>0.0</v>
      </c>
      <c r="P41" s="55">
        <v>0.0</v>
      </c>
      <c r="Q41" s="55">
        <v>0.0</v>
      </c>
      <c r="R41" s="55">
        <v>0.0</v>
      </c>
      <c r="S41" s="55">
        <v>0.0</v>
      </c>
      <c r="T41" s="55">
        <v>0.0</v>
      </c>
      <c r="U41" s="55">
        <v>0.0</v>
      </c>
      <c r="V41" s="55">
        <v>0.0</v>
      </c>
      <c r="W41" s="55">
        <v>0.0</v>
      </c>
      <c r="X41" s="55">
        <f t="shared" ref="X41:Y41" si="40">S41+V41</f>
        <v>0</v>
      </c>
      <c r="Y41" s="55">
        <f t="shared" si="40"/>
        <v>0</v>
      </c>
      <c r="Z41" s="55">
        <f t="shared" si="26"/>
        <v>5</v>
      </c>
      <c r="AA41" s="55">
        <f t="shared" si="27"/>
        <v>5</v>
      </c>
      <c r="AB41" s="55">
        <v>0.0</v>
      </c>
      <c r="AC41" s="55">
        <v>0.0</v>
      </c>
      <c r="AD41" s="55">
        <v>0.0</v>
      </c>
      <c r="AE41" s="55">
        <v>0.0</v>
      </c>
      <c r="AF41" s="55">
        <v>0.0</v>
      </c>
      <c r="AG41" s="55">
        <v>0.0</v>
      </c>
      <c r="AH41" s="57"/>
    </row>
    <row r="42">
      <c r="A42" s="55">
        <v>8.0</v>
      </c>
      <c r="B42" s="58">
        <v>4.0</v>
      </c>
      <c r="C42" s="55">
        <v>0.0</v>
      </c>
      <c r="D42" s="55">
        <v>1.0</v>
      </c>
      <c r="E42" s="55">
        <v>0.0</v>
      </c>
      <c r="F42" s="55">
        <v>0.0</v>
      </c>
      <c r="G42" s="55">
        <v>8.0</v>
      </c>
      <c r="H42" s="55">
        <v>13.0</v>
      </c>
      <c r="I42" s="55">
        <v>0.0</v>
      </c>
      <c r="J42" s="55">
        <v>0.0</v>
      </c>
      <c r="K42" s="55">
        <v>165.0</v>
      </c>
      <c r="L42" s="55">
        <v>0.0</v>
      </c>
      <c r="M42" s="55">
        <v>0.0</v>
      </c>
      <c r="N42" s="55">
        <v>0.0</v>
      </c>
      <c r="O42" s="55">
        <v>0.0</v>
      </c>
      <c r="P42" s="55">
        <v>0.0</v>
      </c>
      <c r="Q42" s="55">
        <v>0.0</v>
      </c>
      <c r="R42" s="55">
        <v>0.0</v>
      </c>
      <c r="S42" s="55">
        <v>0.0</v>
      </c>
      <c r="T42" s="55">
        <v>0.0</v>
      </c>
      <c r="U42" s="55">
        <v>0.0</v>
      </c>
      <c r="V42" s="55">
        <v>0.0</v>
      </c>
      <c r="W42" s="55">
        <v>0.0</v>
      </c>
      <c r="X42" s="55">
        <f t="shared" ref="X42:Y42" si="41">S42+V42</f>
        <v>0</v>
      </c>
      <c r="Y42" s="55">
        <f t="shared" si="41"/>
        <v>0</v>
      </c>
      <c r="Z42" s="55">
        <f t="shared" si="26"/>
        <v>21</v>
      </c>
      <c r="AA42" s="55">
        <f t="shared" si="27"/>
        <v>21</v>
      </c>
      <c r="AB42" s="55">
        <v>0.0</v>
      </c>
      <c r="AC42" s="55">
        <v>0.0</v>
      </c>
      <c r="AD42" s="55">
        <v>0.0</v>
      </c>
      <c r="AE42" s="55">
        <v>0.0</v>
      </c>
      <c r="AF42" s="55">
        <v>0.0</v>
      </c>
      <c r="AG42" s="55">
        <v>0.0</v>
      </c>
      <c r="AH42" s="55" t="s">
        <v>55</v>
      </c>
    </row>
    <row r="43">
      <c r="A43" s="55">
        <v>9.0</v>
      </c>
      <c r="B43" s="58">
        <v>4.0</v>
      </c>
      <c r="C43" s="55">
        <v>0.0</v>
      </c>
      <c r="D43" s="55">
        <v>1.0</v>
      </c>
      <c r="E43" s="55">
        <v>0.0</v>
      </c>
      <c r="F43" s="55">
        <v>0.0</v>
      </c>
      <c r="G43" s="55">
        <v>7.0</v>
      </c>
      <c r="H43" s="55">
        <v>4.0</v>
      </c>
      <c r="I43" s="55">
        <v>0.0</v>
      </c>
      <c r="J43" s="55">
        <v>0.0</v>
      </c>
      <c r="K43" s="55">
        <v>76.0</v>
      </c>
      <c r="L43" s="55">
        <v>0.0</v>
      </c>
      <c r="M43" s="55">
        <v>0.0</v>
      </c>
      <c r="N43" s="55">
        <v>0.0</v>
      </c>
      <c r="O43" s="55">
        <v>0.0</v>
      </c>
      <c r="P43" s="55">
        <v>0.0</v>
      </c>
      <c r="Q43" s="55">
        <v>0.0</v>
      </c>
      <c r="R43" s="55">
        <v>0.0</v>
      </c>
      <c r="S43" s="55">
        <v>0.0</v>
      </c>
      <c r="T43" s="55">
        <v>0.0</v>
      </c>
      <c r="U43" s="55">
        <v>0.0</v>
      </c>
      <c r="V43" s="55">
        <v>0.0</v>
      </c>
      <c r="W43" s="55">
        <v>0.0</v>
      </c>
      <c r="X43" s="55">
        <f t="shared" ref="X43:Y43" si="42">S43+V43</f>
        <v>0</v>
      </c>
      <c r="Y43" s="55">
        <f t="shared" si="42"/>
        <v>0</v>
      </c>
      <c r="Z43" s="55">
        <f t="shared" si="26"/>
        <v>11</v>
      </c>
      <c r="AA43" s="55">
        <f t="shared" si="27"/>
        <v>11</v>
      </c>
      <c r="AB43" s="55">
        <v>0.0</v>
      </c>
      <c r="AC43" s="55">
        <v>0.0</v>
      </c>
      <c r="AD43" s="55">
        <v>0.0</v>
      </c>
      <c r="AE43" s="55">
        <v>0.0</v>
      </c>
      <c r="AF43" s="55">
        <v>0.0</v>
      </c>
      <c r="AG43" s="55">
        <v>0.0</v>
      </c>
      <c r="AH43" s="55" t="s">
        <v>54</v>
      </c>
    </row>
    <row r="44">
      <c r="A44" s="55">
        <v>10.0</v>
      </c>
      <c r="B44" s="58">
        <v>4.0</v>
      </c>
      <c r="C44" s="55">
        <v>0.0</v>
      </c>
      <c r="D44" s="55">
        <v>0.0</v>
      </c>
      <c r="E44" s="55">
        <v>1.0</v>
      </c>
      <c r="F44" s="55">
        <v>1.0</v>
      </c>
      <c r="G44" s="55">
        <v>9.0</v>
      </c>
      <c r="H44" s="55">
        <v>11.0</v>
      </c>
      <c r="I44" s="55">
        <v>0.0</v>
      </c>
      <c r="J44" s="55">
        <v>0.0</v>
      </c>
      <c r="K44" s="55">
        <v>132.0</v>
      </c>
      <c r="L44" s="55">
        <v>1.0</v>
      </c>
      <c r="M44" s="55">
        <v>1.0</v>
      </c>
      <c r="N44" s="55">
        <v>4.0</v>
      </c>
      <c r="O44" s="55">
        <v>0.0</v>
      </c>
      <c r="P44" s="55">
        <v>0.0</v>
      </c>
      <c r="Q44" s="55">
        <v>0.0</v>
      </c>
      <c r="R44" s="55">
        <v>0.0</v>
      </c>
      <c r="S44" s="55">
        <v>0.0</v>
      </c>
      <c r="T44" s="55">
        <v>0.0</v>
      </c>
      <c r="U44" s="55">
        <v>0.0</v>
      </c>
      <c r="V44" s="55">
        <v>1.0</v>
      </c>
      <c r="W44" s="55">
        <v>100.0</v>
      </c>
      <c r="X44" s="55">
        <f t="shared" ref="X44:Y44" si="43">S44+V44</f>
        <v>1</v>
      </c>
      <c r="Y44" s="55">
        <f t="shared" si="43"/>
        <v>100</v>
      </c>
      <c r="Z44" s="55">
        <f t="shared" si="26"/>
        <v>20</v>
      </c>
      <c r="AA44" s="55">
        <f t="shared" si="27"/>
        <v>20</v>
      </c>
      <c r="AB44" s="55">
        <v>1.0</v>
      </c>
      <c r="AC44" s="55">
        <v>1.0</v>
      </c>
      <c r="AD44" s="55">
        <v>0.0</v>
      </c>
      <c r="AE44" s="55">
        <v>0.0</v>
      </c>
      <c r="AF44" s="55">
        <v>0.0</v>
      </c>
      <c r="AG44" s="55">
        <v>0.0</v>
      </c>
      <c r="AH44" s="55"/>
    </row>
    <row r="45">
      <c r="A45" s="55">
        <v>11.0</v>
      </c>
      <c r="B45" s="58">
        <v>4.0</v>
      </c>
      <c r="C45" s="55">
        <v>0.0</v>
      </c>
      <c r="D45" s="55">
        <v>0.0</v>
      </c>
      <c r="E45" s="55">
        <v>0.0</v>
      </c>
      <c r="F45" s="55">
        <v>0.0</v>
      </c>
      <c r="G45" s="55">
        <v>16.0</v>
      </c>
      <c r="H45" s="55">
        <v>3.0</v>
      </c>
      <c r="I45" s="55">
        <v>0.0</v>
      </c>
      <c r="J45" s="55">
        <v>0.0</v>
      </c>
      <c r="K45" s="55">
        <v>144.0</v>
      </c>
      <c r="L45" s="55">
        <v>0.0</v>
      </c>
      <c r="M45" s="55">
        <v>0.0</v>
      </c>
      <c r="N45" s="55">
        <v>0.0</v>
      </c>
      <c r="O45" s="55">
        <v>0.0</v>
      </c>
      <c r="P45" s="55">
        <v>0.0</v>
      </c>
      <c r="Q45" s="55">
        <v>0.0</v>
      </c>
      <c r="R45" s="55">
        <v>0.0</v>
      </c>
      <c r="S45" s="55">
        <v>0.0</v>
      </c>
      <c r="T45" s="55">
        <v>0.0</v>
      </c>
      <c r="U45" s="55">
        <v>0.0</v>
      </c>
      <c r="V45" s="55">
        <v>1.0</v>
      </c>
      <c r="W45" s="55">
        <v>25.0</v>
      </c>
      <c r="X45" s="55">
        <f t="shared" ref="X45:Y45" si="44">S45+V45</f>
        <v>1</v>
      </c>
      <c r="Y45" s="55">
        <f t="shared" si="44"/>
        <v>25</v>
      </c>
      <c r="Z45" s="55">
        <f t="shared" si="26"/>
        <v>19</v>
      </c>
      <c r="AA45" s="55">
        <f t="shared" si="27"/>
        <v>19</v>
      </c>
      <c r="AB45" s="55">
        <v>1.0</v>
      </c>
      <c r="AC45" s="55">
        <v>1.0</v>
      </c>
      <c r="AD45" s="55">
        <v>0.0</v>
      </c>
      <c r="AE45" s="55">
        <v>0.0</v>
      </c>
      <c r="AF45" s="55">
        <v>0.0</v>
      </c>
      <c r="AG45" s="55">
        <v>0.0</v>
      </c>
      <c r="AH45" s="57"/>
    </row>
    <row r="46">
      <c r="A46" s="55">
        <v>12.0</v>
      </c>
      <c r="B46" s="58">
        <v>4.0</v>
      </c>
      <c r="C46" s="55">
        <v>0.0</v>
      </c>
      <c r="D46" s="55">
        <v>2.0</v>
      </c>
      <c r="E46" s="55">
        <v>0.0</v>
      </c>
      <c r="F46" s="55">
        <v>0.0</v>
      </c>
      <c r="G46" s="55">
        <v>0.0</v>
      </c>
      <c r="H46" s="55">
        <v>0.0</v>
      </c>
      <c r="I46" s="55">
        <v>0.0</v>
      </c>
      <c r="J46" s="55">
        <v>0.0</v>
      </c>
      <c r="K46" s="55">
        <v>0.0</v>
      </c>
      <c r="L46" s="55">
        <v>0.0</v>
      </c>
      <c r="M46" s="55">
        <v>0.0</v>
      </c>
      <c r="N46" s="55">
        <v>0.0</v>
      </c>
      <c r="O46" s="55">
        <v>0.0</v>
      </c>
      <c r="P46" s="55">
        <v>0.0</v>
      </c>
      <c r="Q46" s="55">
        <v>0.0</v>
      </c>
      <c r="R46" s="55">
        <v>0.0</v>
      </c>
      <c r="S46" s="55">
        <v>1.0</v>
      </c>
      <c r="T46" s="55">
        <v>200.0</v>
      </c>
      <c r="U46" s="55">
        <v>200.0</v>
      </c>
      <c r="V46" s="55">
        <v>1.0</v>
      </c>
      <c r="W46" s="55">
        <v>119.0</v>
      </c>
      <c r="X46" s="55">
        <f t="shared" ref="X46:Y46" si="45">S46+V46</f>
        <v>2</v>
      </c>
      <c r="Y46" s="55">
        <f t="shared" si="45"/>
        <v>319</v>
      </c>
      <c r="Z46" s="55">
        <f t="shared" si="26"/>
        <v>0</v>
      </c>
      <c r="AA46" s="55">
        <f t="shared" si="27"/>
        <v>0</v>
      </c>
      <c r="AB46" s="55">
        <v>1.0</v>
      </c>
      <c r="AC46" s="55">
        <v>1.0</v>
      </c>
      <c r="AD46" s="55">
        <v>0.0</v>
      </c>
      <c r="AE46" s="55">
        <v>0.0</v>
      </c>
      <c r="AF46" s="55">
        <v>0.0</v>
      </c>
      <c r="AG46" s="55">
        <v>0.0</v>
      </c>
      <c r="AH46" s="55" t="s">
        <v>58</v>
      </c>
    </row>
    <row r="47">
      <c r="A47" s="55">
        <v>13.0</v>
      </c>
      <c r="B47" s="58">
        <v>4.0</v>
      </c>
      <c r="C47" s="55">
        <v>0.0</v>
      </c>
      <c r="D47" s="55">
        <v>2.0</v>
      </c>
      <c r="E47" s="55">
        <v>0.0</v>
      </c>
      <c r="F47" s="55">
        <v>0.0</v>
      </c>
      <c r="G47" s="55">
        <v>0.0</v>
      </c>
      <c r="H47" s="55">
        <v>0.0</v>
      </c>
      <c r="I47" s="55">
        <v>0.0</v>
      </c>
      <c r="J47" s="55">
        <v>0.0</v>
      </c>
      <c r="K47" s="55">
        <v>0.0</v>
      </c>
      <c r="L47" s="55">
        <v>0.0</v>
      </c>
      <c r="M47" s="55">
        <v>0.0</v>
      </c>
      <c r="N47" s="55">
        <v>0.0</v>
      </c>
      <c r="O47" s="55">
        <v>0.0</v>
      </c>
      <c r="P47" s="55">
        <v>0.0</v>
      </c>
      <c r="Q47" s="55">
        <v>0.0</v>
      </c>
      <c r="R47" s="55">
        <v>0.0</v>
      </c>
      <c r="S47" s="55">
        <v>1.0</v>
      </c>
      <c r="T47" s="55">
        <v>200.0</v>
      </c>
      <c r="U47" s="55">
        <v>200.0</v>
      </c>
      <c r="V47" s="55">
        <v>1.0</v>
      </c>
      <c r="W47" s="55">
        <v>25.0</v>
      </c>
      <c r="X47" s="55">
        <f t="shared" ref="X47:Y47" si="46">S47+V47</f>
        <v>2</v>
      </c>
      <c r="Y47" s="55">
        <f t="shared" si="46"/>
        <v>225</v>
      </c>
      <c r="Z47" s="55">
        <f t="shared" si="26"/>
        <v>0</v>
      </c>
      <c r="AA47" s="55">
        <f t="shared" si="27"/>
        <v>0</v>
      </c>
      <c r="AB47" s="55">
        <v>1.0</v>
      </c>
      <c r="AC47" s="55">
        <v>1.0</v>
      </c>
      <c r="AD47" s="55">
        <v>0.0</v>
      </c>
      <c r="AE47" s="55">
        <v>0.0</v>
      </c>
      <c r="AF47" s="55">
        <v>0.0</v>
      </c>
      <c r="AG47" s="55">
        <v>0.0</v>
      </c>
      <c r="AH47" s="55" t="s">
        <v>56</v>
      </c>
    </row>
    <row r="48">
      <c r="A48" s="55">
        <v>14.0</v>
      </c>
      <c r="B48" s="58">
        <v>4.0</v>
      </c>
      <c r="C48" s="55">
        <v>0.0</v>
      </c>
      <c r="D48" s="55">
        <v>1.0</v>
      </c>
      <c r="E48" s="55">
        <v>0.0</v>
      </c>
      <c r="F48" s="55">
        <v>0.0</v>
      </c>
      <c r="G48" s="55">
        <v>1.0</v>
      </c>
      <c r="H48" s="55">
        <v>4.0</v>
      </c>
      <c r="I48" s="55">
        <v>0.0</v>
      </c>
      <c r="J48" s="55">
        <v>0.0</v>
      </c>
      <c r="K48" s="55">
        <v>50.0</v>
      </c>
      <c r="L48" s="55">
        <v>0.0</v>
      </c>
      <c r="M48" s="55">
        <v>0.0</v>
      </c>
      <c r="N48" s="55">
        <v>0.0</v>
      </c>
      <c r="O48" s="55">
        <v>0.0</v>
      </c>
      <c r="P48" s="55">
        <v>0.0</v>
      </c>
      <c r="Q48" s="55">
        <v>0.0</v>
      </c>
      <c r="R48" s="55">
        <v>0.0</v>
      </c>
      <c r="S48" s="55">
        <v>0.0</v>
      </c>
      <c r="T48" s="55">
        <v>0.0</v>
      </c>
      <c r="U48" s="55">
        <v>0.0</v>
      </c>
      <c r="V48" s="55">
        <v>0.0</v>
      </c>
      <c r="W48" s="55">
        <v>0.0</v>
      </c>
      <c r="X48" s="55">
        <f t="shared" ref="X48:Y48" si="47">S48+V48</f>
        <v>0</v>
      </c>
      <c r="Y48" s="55">
        <f t="shared" si="47"/>
        <v>0</v>
      </c>
      <c r="Z48" s="55">
        <f t="shared" si="26"/>
        <v>5</v>
      </c>
      <c r="AA48" s="55">
        <f t="shared" si="27"/>
        <v>5</v>
      </c>
      <c r="AB48" s="55">
        <v>0.0</v>
      </c>
      <c r="AC48" s="55">
        <v>0.0</v>
      </c>
      <c r="AD48" s="55">
        <v>0.0</v>
      </c>
      <c r="AE48" s="55">
        <v>0.0</v>
      </c>
      <c r="AF48" s="55">
        <v>0.0</v>
      </c>
      <c r="AG48" s="55">
        <v>0.0</v>
      </c>
      <c r="AH48" s="55" t="s">
        <v>48</v>
      </c>
    </row>
    <row r="49">
      <c r="A49" s="55">
        <v>15.0</v>
      </c>
      <c r="B49" s="58">
        <v>4.0</v>
      </c>
      <c r="C49" s="55">
        <v>0.0</v>
      </c>
      <c r="D49" s="55">
        <v>0.0</v>
      </c>
      <c r="E49" s="55">
        <v>0.0</v>
      </c>
      <c r="F49" s="55">
        <v>0.0</v>
      </c>
      <c r="G49" s="55">
        <v>10.0</v>
      </c>
      <c r="H49" s="55">
        <v>1.0</v>
      </c>
      <c r="I49" s="55">
        <v>0.0</v>
      </c>
      <c r="J49" s="55">
        <v>1.0</v>
      </c>
      <c r="K49" s="55">
        <v>81.0</v>
      </c>
      <c r="L49" s="55">
        <v>0.0</v>
      </c>
      <c r="M49" s="55">
        <v>0.0</v>
      </c>
      <c r="N49" s="55">
        <v>0.0</v>
      </c>
      <c r="O49" s="55">
        <v>0.0</v>
      </c>
      <c r="P49" s="55">
        <v>0.0</v>
      </c>
      <c r="Q49" s="55">
        <v>0.0</v>
      </c>
      <c r="R49" s="55">
        <v>0.0</v>
      </c>
      <c r="S49" s="55">
        <v>0.0</v>
      </c>
      <c r="T49" s="55">
        <v>0.0</v>
      </c>
      <c r="U49" s="55">
        <v>0.0</v>
      </c>
      <c r="V49" s="55">
        <v>0.0</v>
      </c>
      <c r="W49" s="55">
        <v>0.0</v>
      </c>
      <c r="X49" s="55">
        <f t="shared" ref="X49:Y49" si="48">S49+V49</f>
        <v>0</v>
      </c>
      <c r="Y49" s="55">
        <f t="shared" si="48"/>
        <v>0</v>
      </c>
      <c r="Z49" s="55">
        <f t="shared" si="26"/>
        <v>11</v>
      </c>
      <c r="AA49" s="55">
        <f t="shared" si="27"/>
        <v>11</v>
      </c>
      <c r="AB49" s="55">
        <v>0.0</v>
      </c>
      <c r="AC49" s="55">
        <v>0.0</v>
      </c>
      <c r="AD49" s="55">
        <v>0.0</v>
      </c>
      <c r="AE49" s="55">
        <v>0.0</v>
      </c>
      <c r="AF49" s="55">
        <v>0.0</v>
      </c>
      <c r="AG49" s="55">
        <v>0.0</v>
      </c>
      <c r="AH49" s="57"/>
    </row>
    <row r="50">
      <c r="A50" s="55">
        <v>16.0</v>
      </c>
      <c r="B50" s="58">
        <v>4.0</v>
      </c>
      <c r="C50" s="55">
        <v>0.0</v>
      </c>
      <c r="D50" s="55">
        <v>2.0</v>
      </c>
      <c r="E50" s="55">
        <v>0.0</v>
      </c>
      <c r="F50" s="55">
        <v>0.0</v>
      </c>
      <c r="G50" s="55">
        <v>5.0</v>
      </c>
      <c r="H50" s="55">
        <v>1.0</v>
      </c>
      <c r="I50" s="55">
        <v>0.0</v>
      </c>
      <c r="J50" s="55">
        <v>1.0</v>
      </c>
      <c r="K50" s="55">
        <v>68.0</v>
      </c>
      <c r="L50" s="55">
        <v>1.0</v>
      </c>
      <c r="M50" s="55">
        <v>1.0</v>
      </c>
      <c r="N50" s="55">
        <v>50.0</v>
      </c>
      <c r="O50" s="55">
        <v>0.0</v>
      </c>
      <c r="P50" s="55">
        <v>0.0</v>
      </c>
      <c r="Q50" s="55">
        <v>1.0</v>
      </c>
      <c r="R50" s="55">
        <v>0.0</v>
      </c>
      <c r="S50" s="55">
        <v>0.0</v>
      </c>
      <c r="T50" s="55">
        <v>0.0</v>
      </c>
      <c r="U50" s="55">
        <v>0.0</v>
      </c>
      <c r="V50" s="55">
        <v>0.0</v>
      </c>
      <c r="W50" s="55">
        <v>0.0</v>
      </c>
      <c r="X50" s="55">
        <f t="shared" ref="X50:Y50" si="49">S50+V50</f>
        <v>0</v>
      </c>
      <c r="Y50" s="55">
        <f t="shared" si="49"/>
        <v>0</v>
      </c>
      <c r="Z50" s="55">
        <f t="shared" si="26"/>
        <v>6</v>
      </c>
      <c r="AA50" s="55">
        <f t="shared" si="27"/>
        <v>6</v>
      </c>
      <c r="AB50" s="55">
        <v>0.0</v>
      </c>
      <c r="AC50" s="55">
        <v>0.0</v>
      </c>
      <c r="AD50" s="55">
        <v>0.0</v>
      </c>
      <c r="AE50" s="55">
        <v>0.0</v>
      </c>
      <c r="AF50" s="55">
        <v>0.0</v>
      </c>
      <c r="AG50" s="55">
        <v>0.0</v>
      </c>
      <c r="AH50" s="55" t="s">
        <v>56</v>
      </c>
    </row>
    <row r="51">
      <c r="A51" s="55">
        <v>17.0</v>
      </c>
      <c r="B51" s="58">
        <v>4.0</v>
      </c>
      <c r="C51" s="55">
        <v>0.0</v>
      </c>
      <c r="D51" s="55">
        <v>1.0</v>
      </c>
      <c r="E51" s="55">
        <v>0.0</v>
      </c>
      <c r="F51" s="55">
        <v>0.0</v>
      </c>
      <c r="G51" s="55">
        <v>7.0</v>
      </c>
      <c r="H51" s="55">
        <v>3.0</v>
      </c>
      <c r="I51" s="55">
        <v>4.0</v>
      </c>
      <c r="J51" s="55">
        <v>3.0</v>
      </c>
      <c r="K51" s="55">
        <v>99.0</v>
      </c>
      <c r="L51" s="55">
        <v>8.0</v>
      </c>
      <c r="M51" s="55">
        <v>6.0</v>
      </c>
      <c r="N51" s="55">
        <v>200.0</v>
      </c>
      <c r="O51" s="55">
        <v>0.0</v>
      </c>
      <c r="P51" s="55">
        <v>0.0</v>
      </c>
      <c r="Q51" s="55">
        <v>1.0</v>
      </c>
      <c r="R51" s="55">
        <v>0.0</v>
      </c>
      <c r="S51" s="55">
        <v>0.0</v>
      </c>
      <c r="T51" s="55">
        <v>0.0</v>
      </c>
      <c r="U51" s="55">
        <v>0.0</v>
      </c>
      <c r="V51" s="55">
        <v>1.0</v>
      </c>
      <c r="W51" s="55">
        <v>249.0</v>
      </c>
      <c r="X51" s="55">
        <f t="shared" ref="X51:Y51" si="50">S51+V51</f>
        <v>1</v>
      </c>
      <c r="Y51" s="55">
        <f t="shared" si="50"/>
        <v>249</v>
      </c>
      <c r="Z51" s="55">
        <f t="shared" si="26"/>
        <v>10</v>
      </c>
      <c r="AA51" s="55">
        <f t="shared" si="27"/>
        <v>10</v>
      </c>
      <c r="AB51" s="55">
        <v>1.0</v>
      </c>
      <c r="AC51" s="55">
        <v>1.0</v>
      </c>
      <c r="AD51" s="55">
        <v>0.0</v>
      </c>
      <c r="AE51" s="55">
        <v>0.0</v>
      </c>
      <c r="AF51" s="55">
        <v>0.0</v>
      </c>
      <c r="AG51" s="55">
        <v>0.0</v>
      </c>
      <c r="AH51" s="55" t="s">
        <v>55</v>
      </c>
    </row>
    <row r="52">
      <c r="A52" s="55">
        <v>18.0</v>
      </c>
      <c r="B52" s="58">
        <v>4.0</v>
      </c>
      <c r="C52" s="55">
        <v>0.0</v>
      </c>
      <c r="D52" s="55">
        <v>0.0</v>
      </c>
      <c r="E52" s="55">
        <v>0.0</v>
      </c>
      <c r="F52" s="55">
        <v>0.0</v>
      </c>
      <c r="G52" s="55">
        <v>6.0</v>
      </c>
      <c r="H52" s="55">
        <v>3.0</v>
      </c>
      <c r="I52" s="55">
        <v>0.0</v>
      </c>
      <c r="J52" s="55">
        <v>3.0</v>
      </c>
      <c r="K52" s="55">
        <v>79.0</v>
      </c>
      <c r="L52" s="55">
        <v>1.0</v>
      </c>
      <c r="M52" s="55">
        <v>1.0</v>
      </c>
      <c r="N52" s="55">
        <v>25.0</v>
      </c>
      <c r="O52" s="55">
        <v>0.0</v>
      </c>
      <c r="P52" s="55">
        <v>0.0</v>
      </c>
      <c r="Q52" s="55">
        <v>0.0</v>
      </c>
      <c r="R52" s="55">
        <v>0.0</v>
      </c>
      <c r="S52" s="55">
        <v>0.0</v>
      </c>
      <c r="T52" s="55">
        <v>0.0</v>
      </c>
      <c r="U52" s="55">
        <v>0.0</v>
      </c>
      <c r="V52" s="55">
        <v>1.0</v>
      </c>
      <c r="W52" s="55">
        <v>40.0</v>
      </c>
      <c r="X52" s="55">
        <f t="shared" ref="X52:Y52" si="51">S52+V52</f>
        <v>1</v>
      </c>
      <c r="Y52" s="55">
        <f t="shared" si="51"/>
        <v>40</v>
      </c>
      <c r="Z52" s="55">
        <f t="shared" si="26"/>
        <v>9</v>
      </c>
      <c r="AA52" s="55">
        <f t="shared" si="27"/>
        <v>9</v>
      </c>
      <c r="AB52" s="55">
        <v>0.0</v>
      </c>
      <c r="AC52" s="55">
        <v>0.0</v>
      </c>
      <c r="AD52" s="55">
        <v>0.0</v>
      </c>
      <c r="AE52" s="55">
        <v>0.0</v>
      </c>
      <c r="AF52" s="55">
        <v>0.0</v>
      </c>
      <c r="AG52" s="55">
        <v>0.0</v>
      </c>
      <c r="AH52" s="57"/>
    </row>
    <row r="53">
      <c r="A53" s="55">
        <v>19.0</v>
      </c>
      <c r="B53" s="58">
        <v>4.0</v>
      </c>
      <c r="C53" s="55">
        <v>0.0</v>
      </c>
      <c r="D53" s="55">
        <v>2.0</v>
      </c>
      <c r="E53" s="55">
        <v>0.0</v>
      </c>
      <c r="F53" s="55">
        <v>0.0</v>
      </c>
      <c r="G53" s="55">
        <v>1.0</v>
      </c>
      <c r="H53" s="55">
        <v>2.0</v>
      </c>
      <c r="I53" s="55">
        <v>0.0</v>
      </c>
      <c r="J53" s="55">
        <v>0.0</v>
      </c>
      <c r="K53" s="55">
        <v>19.0</v>
      </c>
      <c r="L53" s="55">
        <v>0.0</v>
      </c>
      <c r="M53" s="55">
        <v>0.0</v>
      </c>
      <c r="N53" s="55">
        <v>0.0</v>
      </c>
      <c r="O53" s="55">
        <v>0.0</v>
      </c>
      <c r="P53" s="55">
        <v>0.0</v>
      </c>
      <c r="Q53" s="55">
        <v>0.0</v>
      </c>
      <c r="R53" s="55">
        <v>0.0</v>
      </c>
      <c r="S53" s="55">
        <v>1.0</v>
      </c>
      <c r="T53" s="55">
        <v>210.0</v>
      </c>
      <c r="U53" s="55">
        <v>210.0</v>
      </c>
      <c r="V53" s="55">
        <v>0.0</v>
      </c>
      <c r="W53" s="55">
        <v>0.0</v>
      </c>
      <c r="X53" s="55">
        <f t="shared" ref="X53:Y53" si="52">S53+V53</f>
        <v>1</v>
      </c>
      <c r="Y53" s="55">
        <f t="shared" si="52"/>
        <v>210</v>
      </c>
      <c r="Z53" s="55">
        <f t="shared" si="26"/>
        <v>3</v>
      </c>
      <c r="AA53" s="55">
        <f t="shared" si="27"/>
        <v>3</v>
      </c>
      <c r="AB53" s="55">
        <v>0.0</v>
      </c>
      <c r="AC53" s="55">
        <v>0.0</v>
      </c>
      <c r="AD53" s="55">
        <v>0.0</v>
      </c>
      <c r="AE53" s="55">
        <v>0.0</v>
      </c>
      <c r="AF53" s="55">
        <v>0.0</v>
      </c>
      <c r="AG53" s="55">
        <v>0.0</v>
      </c>
      <c r="AH53" s="55" t="s">
        <v>59</v>
      </c>
    </row>
    <row r="54">
      <c r="A54" s="55">
        <v>20.0</v>
      </c>
      <c r="B54" s="58">
        <v>4.0</v>
      </c>
      <c r="C54" s="55">
        <v>0.0</v>
      </c>
      <c r="D54" s="55">
        <v>3.0</v>
      </c>
      <c r="E54" s="55">
        <v>0.0</v>
      </c>
      <c r="F54" s="55">
        <v>0.0</v>
      </c>
      <c r="G54" s="55">
        <v>0.0</v>
      </c>
      <c r="H54" s="55">
        <v>0.0</v>
      </c>
      <c r="I54" s="55">
        <v>0.0</v>
      </c>
      <c r="J54" s="55">
        <v>0.0</v>
      </c>
      <c r="K54" s="55">
        <v>0.0</v>
      </c>
      <c r="L54" s="55">
        <v>0.0</v>
      </c>
      <c r="M54" s="55">
        <v>0.0</v>
      </c>
      <c r="N54" s="55">
        <v>0.0</v>
      </c>
      <c r="O54" s="55">
        <v>0.0</v>
      </c>
      <c r="P54" s="55">
        <v>0.0</v>
      </c>
      <c r="Q54" s="55">
        <v>0.0</v>
      </c>
      <c r="R54" s="55">
        <v>0.0</v>
      </c>
      <c r="S54" s="55">
        <v>0.0</v>
      </c>
      <c r="T54" s="55">
        <v>0.0</v>
      </c>
      <c r="U54" s="55">
        <v>0.0</v>
      </c>
      <c r="V54" s="55">
        <v>0.0</v>
      </c>
      <c r="W54" s="55">
        <v>0.0</v>
      </c>
      <c r="X54" s="55">
        <f t="shared" ref="X54:Y54" si="53">S54+V54</f>
        <v>0</v>
      </c>
      <c r="Y54" s="55">
        <f t="shared" si="53"/>
        <v>0</v>
      </c>
      <c r="Z54" s="55">
        <f t="shared" si="26"/>
        <v>0</v>
      </c>
      <c r="AA54" s="55">
        <f t="shared" si="27"/>
        <v>0</v>
      </c>
      <c r="AB54" s="55">
        <v>0.0</v>
      </c>
      <c r="AC54" s="55">
        <v>0.0</v>
      </c>
      <c r="AD54" s="55">
        <v>0.0</v>
      </c>
      <c r="AE54" s="55">
        <v>0.0</v>
      </c>
      <c r="AF54" s="55">
        <v>0.0</v>
      </c>
      <c r="AG54" s="55">
        <v>0.0</v>
      </c>
      <c r="AH54" s="55" t="s">
        <v>60</v>
      </c>
    </row>
    <row r="55">
      <c r="A55" s="55">
        <v>21.0</v>
      </c>
      <c r="B55" s="58">
        <v>4.0</v>
      </c>
      <c r="C55" s="55">
        <v>0.0</v>
      </c>
      <c r="D55" s="55">
        <v>1.0</v>
      </c>
      <c r="E55" s="55">
        <v>0.0</v>
      </c>
      <c r="F55" s="55">
        <v>0.0</v>
      </c>
      <c r="G55" s="55">
        <v>0.0</v>
      </c>
      <c r="H55" s="55">
        <v>0.0</v>
      </c>
      <c r="I55" s="55">
        <v>1.0</v>
      </c>
      <c r="J55" s="55">
        <v>0.0</v>
      </c>
      <c r="K55" s="55">
        <v>0.0</v>
      </c>
      <c r="L55" s="55">
        <v>1.0</v>
      </c>
      <c r="M55" s="55">
        <v>1.0</v>
      </c>
      <c r="N55" s="55">
        <v>50.0</v>
      </c>
      <c r="O55" s="55">
        <v>0.0</v>
      </c>
      <c r="P55" s="55">
        <v>0.0</v>
      </c>
      <c r="Q55" s="55">
        <v>0.0</v>
      </c>
      <c r="R55" s="55">
        <v>0.0</v>
      </c>
      <c r="S55" s="55">
        <v>2.0</v>
      </c>
      <c r="T55" s="55">
        <v>1370.0</v>
      </c>
      <c r="U55" s="55">
        <v>1370.0</v>
      </c>
      <c r="V55" s="55">
        <v>0.0</v>
      </c>
      <c r="W55" s="55">
        <v>0.0</v>
      </c>
      <c r="X55" s="55">
        <f t="shared" ref="X55:Y55" si="54">S55+V55</f>
        <v>2</v>
      </c>
      <c r="Y55" s="55">
        <f t="shared" si="54"/>
        <v>1370</v>
      </c>
      <c r="Z55" s="55">
        <f t="shared" si="26"/>
        <v>0</v>
      </c>
      <c r="AA55" s="55">
        <f t="shared" si="27"/>
        <v>0</v>
      </c>
      <c r="AB55" s="55">
        <v>0.0</v>
      </c>
      <c r="AC55" s="55">
        <v>0.0</v>
      </c>
      <c r="AD55" s="55">
        <v>0.0</v>
      </c>
      <c r="AE55" s="55">
        <v>0.0</v>
      </c>
      <c r="AF55" s="55">
        <v>0.0</v>
      </c>
      <c r="AG55" s="55">
        <v>0.0</v>
      </c>
      <c r="AH55" s="55" t="s">
        <v>54</v>
      </c>
    </row>
    <row r="56">
      <c r="A56" s="55">
        <v>22.0</v>
      </c>
      <c r="B56" s="58">
        <v>4.0</v>
      </c>
      <c r="C56" s="55">
        <v>0.0</v>
      </c>
      <c r="D56" s="55">
        <v>0.0</v>
      </c>
      <c r="E56" s="55">
        <v>0.0</v>
      </c>
      <c r="F56" s="55">
        <v>0.0</v>
      </c>
      <c r="G56" s="55">
        <v>1.0</v>
      </c>
      <c r="H56" s="55">
        <v>1.0</v>
      </c>
      <c r="I56" s="55">
        <v>0.0</v>
      </c>
      <c r="J56" s="55">
        <v>0.0</v>
      </c>
      <c r="K56" s="55">
        <v>19.0</v>
      </c>
      <c r="L56" s="55">
        <v>1.0</v>
      </c>
      <c r="M56" s="55">
        <v>1.0</v>
      </c>
      <c r="N56" s="55">
        <v>7.5</v>
      </c>
      <c r="O56" s="55">
        <v>0.0</v>
      </c>
      <c r="P56" s="55">
        <v>0.0</v>
      </c>
      <c r="Q56" s="55">
        <v>0.0</v>
      </c>
      <c r="R56" s="55">
        <v>0.0</v>
      </c>
      <c r="S56" s="55">
        <v>0.0</v>
      </c>
      <c r="T56" s="55">
        <v>0.0</v>
      </c>
      <c r="U56" s="55">
        <v>0.0</v>
      </c>
      <c r="V56" s="55">
        <v>0.0</v>
      </c>
      <c r="W56" s="55">
        <v>0.0</v>
      </c>
      <c r="X56" s="55">
        <f t="shared" ref="X56:Y56" si="55">S56+V56</f>
        <v>0</v>
      </c>
      <c r="Y56" s="55">
        <f t="shared" si="55"/>
        <v>0</v>
      </c>
      <c r="Z56" s="55">
        <f t="shared" si="26"/>
        <v>2</v>
      </c>
      <c r="AA56" s="55">
        <f t="shared" si="27"/>
        <v>2</v>
      </c>
      <c r="AB56" s="55">
        <v>0.0</v>
      </c>
      <c r="AC56" s="55">
        <v>0.0</v>
      </c>
      <c r="AD56" s="55">
        <v>0.0</v>
      </c>
      <c r="AE56" s="55">
        <v>0.0</v>
      </c>
      <c r="AF56" s="55">
        <v>0.0</v>
      </c>
      <c r="AG56" s="55">
        <v>0.0</v>
      </c>
      <c r="AH56" s="57"/>
    </row>
    <row r="57">
      <c r="A57" s="55">
        <v>23.0</v>
      </c>
      <c r="B57" s="58">
        <v>4.0</v>
      </c>
      <c r="C57" s="55">
        <v>0.0</v>
      </c>
      <c r="D57" s="55">
        <v>1.0</v>
      </c>
      <c r="E57" s="55">
        <v>0.0</v>
      </c>
      <c r="F57" s="55">
        <v>0.0</v>
      </c>
      <c r="G57" s="55">
        <v>6.0</v>
      </c>
      <c r="H57" s="55">
        <v>5.0</v>
      </c>
      <c r="I57" s="55">
        <v>1.0</v>
      </c>
      <c r="J57" s="55">
        <v>3.0</v>
      </c>
      <c r="K57" s="55">
        <v>84.0</v>
      </c>
      <c r="L57" s="55">
        <v>2.0</v>
      </c>
      <c r="M57" s="55">
        <v>2.0</v>
      </c>
      <c r="N57" s="55">
        <v>75.0</v>
      </c>
      <c r="O57" s="55">
        <v>0.0</v>
      </c>
      <c r="P57" s="55">
        <v>0.0</v>
      </c>
      <c r="Q57" s="55">
        <v>0.0</v>
      </c>
      <c r="R57" s="55">
        <v>0.0</v>
      </c>
      <c r="S57" s="55">
        <v>0.0</v>
      </c>
      <c r="T57" s="55">
        <v>0.0</v>
      </c>
      <c r="U57" s="55">
        <v>0.0</v>
      </c>
      <c r="V57" s="55">
        <v>0.0</v>
      </c>
      <c r="W57" s="55">
        <v>0.0</v>
      </c>
      <c r="X57" s="55">
        <f t="shared" ref="X57:Y57" si="56">S57+V57</f>
        <v>0</v>
      </c>
      <c r="Y57" s="55">
        <f t="shared" si="56"/>
        <v>0</v>
      </c>
      <c r="Z57" s="55">
        <f t="shared" si="26"/>
        <v>11</v>
      </c>
      <c r="AA57" s="55">
        <f t="shared" si="27"/>
        <v>11</v>
      </c>
      <c r="AB57" s="55">
        <v>0.0</v>
      </c>
      <c r="AC57" s="55">
        <v>0.0</v>
      </c>
      <c r="AD57" s="55">
        <v>0.0</v>
      </c>
      <c r="AE57" s="55">
        <v>0.0</v>
      </c>
      <c r="AF57" s="55">
        <v>0.0</v>
      </c>
      <c r="AG57" s="55">
        <v>0.0</v>
      </c>
      <c r="AH57" s="55" t="s">
        <v>48</v>
      </c>
    </row>
    <row r="58">
      <c r="A58" s="55">
        <v>24.0</v>
      </c>
      <c r="B58" s="58">
        <v>4.0</v>
      </c>
      <c r="C58" s="55">
        <v>0.0</v>
      </c>
      <c r="D58" s="55">
        <v>0.0</v>
      </c>
      <c r="E58" s="55">
        <v>0.0</v>
      </c>
      <c r="F58" s="55">
        <v>0.0</v>
      </c>
      <c r="G58" s="55">
        <v>5.0</v>
      </c>
      <c r="H58" s="55">
        <v>7.0</v>
      </c>
      <c r="I58" s="55">
        <v>3.0</v>
      </c>
      <c r="J58" s="55">
        <v>0.0</v>
      </c>
      <c r="K58" s="55">
        <v>81.0</v>
      </c>
      <c r="L58" s="55">
        <v>3.0</v>
      </c>
      <c r="M58" s="55">
        <v>3.0</v>
      </c>
      <c r="N58" s="55">
        <v>155.0</v>
      </c>
      <c r="O58" s="55">
        <v>0.0</v>
      </c>
      <c r="P58" s="55">
        <v>0.0</v>
      </c>
      <c r="Q58" s="55">
        <v>0.0</v>
      </c>
      <c r="R58" s="55">
        <v>0.0</v>
      </c>
      <c r="S58" s="55">
        <v>1.0</v>
      </c>
      <c r="T58" s="55">
        <v>300.0</v>
      </c>
      <c r="U58" s="55">
        <v>300.0</v>
      </c>
      <c r="V58" s="55">
        <v>0.0</v>
      </c>
      <c r="W58" s="55">
        <v>0.0</v>
      </c>
      <c r="X58" s="55">
        <f t="shared" ref="X58:Y58" si="57">S58+V58</f>
        <v>1</v>
      </c>
      <c r="Y58" s="55">
        <f t="shared" si="57"/>
        <v>300</v>
      </c>
      <c r="Z58" s="55">
        <f t="shared" si="26"/>
        <v>12</v>
      </c>
      <c r="AA58" s="55">
        <f t="shared" si="27"/>
        <v>12</v>
      </c>
      <c r="AB58" s="55">
        <v>0.0</v>
      </c>
      <c r="AC58" s="55">
        <v>0.0</v>
      </c>
      <c r="AD58" s="55">
        <v>0.0</v>
      </c>
      <c r="AE58" s="55">
        <v>0.0</v>
      </c>
      <c r="AF58" s="55">
        <v>0.0</v>
      </c>
      <c r="AG58" s="55">
        <v>0.0</v>
      </c>
      <c r="AH58" s="57"/>
    </row>
    <row r="59">
      <c r="A59" s="55">
        <v>25.0</v>
      </c>
      <c r="B59" s="58">
        <v>4.0</v>
      </c>
      <c r="C59" s="55">
        <v>0.0</v>
      </c>
      <c r="D59" s="55">
        <v>0.0</v>
      </c>
      <c r="E59" s="55">
        <v>0.0</v>
      </c>
      <c r="F59" s="55">
        <v>0.0</v>
      </c>
      <c r="G59" s="55">
        <v>1.0</v>
      </c>
      <c r="H59" s="55">
        <v>9.0</v>
      </c>
      <c r="I59" s="55">
        <v>2.0</v>
      </c>
      <c r="J59" s="55">
        <v>1.0</v>
      </c>
      <c r="K59" s="55">
        <v>74.0</v>
      </c>
      <c r="L59" s="55">
        <v>3.0</v>
      </c>
      <c r="M59" s="55">
        <v>3.0</v>
      </c>
      <c r="N59" s="55">
        <v>75.0</v>
      </c>
      <c r="O59" s="55">
        <v>0.0</v>
      </c>
      <c r="P59" s="55">
        <v>0.0</v>
      </c>
      <c r="Q59" s="55">
        <v>0.0</v>
      </c>
      <c r="R59" s="55">
        <v>0.0</v>
      </c>
      <c r="S59" s="55">
        <v>0.0</v>
      </c>
      <c r="T59" s="55">
        <v>0.0</v>
      </c>
      <c r="U59" s="55">
        <v>0.0</v>
      </c>
      <c r="V59" s="55">
        <v>2.0</v>
      </c>
      <c r="W59" s="55">
        <v>155.0</v>
      </c>
      <c r="X59" s="55">
        <f t="shared" ref="X59:Y59" si="58">S59+V59</f>
        <v>2</v>
      </c>
      <c r="Y59" s="55">
        <f t="shared" si="58"/>
        <v>155</v>
      </c>
      <c r="Z59" s="55">
        <f t="shared" si="26"/>
        <v>10</v>
      </c>
      <c r="AA59" s="55">
        <f t="shared" si="27"/>
        <v>10</v>
      </c>
      <c r="AB59" s="55">
        <v>1.0</v>
      </c>
      <c r="AC59" s="55">
        <v>1.0</v>
      </c>
      <c r="AD59" s="55">
        <v>0.0</v>
      </c>
      <c r="AE59" s="55">
        <v>0.0</v>
      </c>
      <c r="AF59" s="55">
        <v>0.0</v>
      </c>
      <c r="AG59" s="55">
        <v>0.0</v>
      </c>
      <c r="AH59" s="57"/>
    </row>
    <row r="60">
      <c r="A60" s="55">
        <v>26.0</v>
      </c>
      <c r="B60" s="58">
        <v>4.0</v>
      </c>
      <c r="C60" s="55">
        <v>0.0</v>
      </c>
      <c r="D60" s="55">
        <v>1.0</v>
      </c>
      <c r="E60" s="55">
        <v>0.0</v>
      </c>
      <c r="F60" s="55">
        <v>0.0</v>
      </c>
      <c r="G60" s="55">
        <v>0.0</v>
      </c>
      <c r="H60" s="55">
        <v>0.0</v>
      </c>
      <c r="I60" s="55">
        <v>0.0</v>
      </c>
      <c r="J60" s="55">
        <v>0.0</v>
      </c>
      <c r="K60" s="55">
        <v>0.0</v>
      </c>
      <c r="L60" s="55">
        <v>0.0</v>
      </c>
      <c r="M60" s="55">
        <v>0.0</v>
      </c>
      <c r="N60" s="55">
        <v>0.0</v>
      </c>
      <c r="O60" s="55">
        <v>0.0</v>
      </c>
      <c r="P60" s="55">
        <v>0.0</v>
      </c>
      <c r="Q60" s="55">
        <v>0.0</v>
      </c>
      <c r="R60" s="55">
        <v>0.0</v>
      </c>
      <c r="S60" s="55">
        <v>0.0</v>
      </c>
      <c r="T60" s="55">
        <v>0.0</v>
      </c>
      <c r="U60" s="55">
        <v>0.0</v>
      </c>
      <c r="V60" s="55">
        <v>0.0</v>
      </c>
      <c r="W60" s="55">
        <v>0.0</v>
      </c>
      <c r="X60" s="55">
        <f t="shared" ref="X60:Y60" si="59">S60+V60</f>
        <v>0</v>
      </c>
      <c r="Y60" s="55">
        <f t="shared" si="59"/>
        <v>0</v>
      </c>
      <c r="Z60" s="55">
        <f t="shared" si="26"/>
        <v>0</v>
      </c>
      <c r="AA60" s="55">
        <f t="shared" si="27"/>
        <v>0</v>
      </c>
      <c r="AB60" s="55">
        <v>0.0</v>
      </c>
      <c r="AC60" s="55">
        <v>0.0</v>
      </c>
      <c r="AD60" s="55">
        <v>0.0</v>
      </c>
      <c r="AE60" s="55">
        <v>0.0</v>
      </c>
      <c r="AF60" s="55">
        <v>0.0</v>
      </c>
      <c r="AG60" s="55">
        <v>0.0</v>
      </c>
      <c r="AH60" s="55" t="s">
        <v>48</v>
      </c>
    </row>
    <row r="61">
      <c r="A61" s="55">
        <v>27.0</v>
      </c>
      <c r="B61" s="58">
        <v>4.0</v>
      </c>
      <c r="C61" s="55">
        <v>0.0</v>
      </c>
      <c r="D61" s="55">
        <v>1.0</v>
      </c>
      <c r="E61" s="55">
        <v>0.0</v>
      </c>
      <c r="F61" s="55">
        <v>0.0</v>
      </c>
      <c r="G61" s="55">
        <v>0.0</v>
      </c>
      <c r="H61" s="55">
        <v>0.0</v>
      </c>
      <c r="I61" s="55">
        <v>0.0</v>
      </c>
      <c r="J61" s="55">
        <v>0.0</v>
      </c>
      <c r="K61" s="55">
        <v>0.0</v>
      </c>
      <c r="L61" s="55">
        <v>0.0</v>
      </c>
      <c r="M61" s="55">
        <v>0.0</v>
      </c>
      <c r="N61" s="55">
        <v>0.0</v>
      </c>
      <c r="O61" s="55">
        <v>0.0</v>
      </c>
      <c r="P61" s="55">
        <v>0.0</v>
      </c>
      <c r="Q61" s="55">
        <v>0.0</v>
      </c>
      <c r="R61" s="55">
        <v>0.0</v>
      </c>
      <c r="S61" s="55">
        <v>0.0</v>
      </c>
      <c r="T61" s="55">
        <v>0.0</v>
      </c>
      <c r="U61" s="55">
        <v>0.0</v>
      </c>
      <c r="V61" s="55">
        <v>0.0</v>
      </c>
      <c r="W61" s="55">
        <v>0.0</v>
      </c>
      <c r="X61" s="55">
        <f t="shared" ref="X61:Y61" si="60">S61+V61</f>
        <v>0</v>
      </c>
      <c r="Y61" s="55">
        <f t="shared" si="60"/>
        <v>0</v>
      </c>
      <c r="Z61" s="55">
        <f t="shared" si="26"/>
        <v>0</v>
      </c>
      <c r="AA61" s="55">
        <f t="shared" si="27"/>
        <v>0</v>
      </c>
      <c r="AB61" s="55">
        <v>0.0</v>
      </c>
      <c r="AC61" s="55">
        <v>0.0</v>
      </c>
      <c r="AD61" s="55">
        <v>0.0</v>
      </c>
      <c r="AE61" s="55">
        <v>0.0</v>
      </c>
      <c r="AF61" s="55">
        <v>0.0</v>
      </c>
      <c r="AG61" s="55">
        <v>0.0</v>
      </c>
      <c r="AH61" s="55" t="s">
        <v>61</v>
      </c>
    </row>
    <row r="62">
      <c r="A62" s="55">
        <v>28.0</v>
      </c>
      <c r="B62" s="58">
        <v>4.0</v>
      </c>
      <c r="C62" s="55">
        <v>0.0</v>
      </c>
      <c r="D62" s="55">
        <v>2.0</v>
      </c>
      <c r="E62" s="55">
        <v>0.0</v>
      </c>
      <c r="F62" s="55">
        <v>0.0</v>
      </c>
      <c r="G62" s="55">
        <v>0.0</v>
      </c>
      <c r="H62" s="55">
        <v>0.0</v>
      </c>
      <c r="I62" s="55">
        <v>0.0</v>
      </c>
      <c r="J62" s="55">
        <v>0.0</v>
      </c>
      <c r="K62" s="55">
        <v>0.0</v>
      </c>
      <c r="L62" s="55">
        <v>0.0</v>
      </c>
      <c r="M62" s="55">
        <v>0.0</v>
      </c>
      <c r="N62" s="55">
        <v>0.0</v>
      </c>
      <c r="O62" s="55">
        <v>0.0</v>
      </c>
      <c r="P62" s="55">
        <v>0.0</v>
      </c>
      <c r="Q62" s="55">
        <v>0.0</v>
      </c>
      <c r="R62" s="55">
        <v>0.0</v>
      </c>
      <c r="S62" s="55">
        <v>0.0</v>
      </c>
      <c r="T62" s="55">
        <v>0.0</v>
      </c>
      <c r="U62" s="55">
        <v>0.0</v>
      </c>
      <c r="V62" s="55">
        <v>0.0</v>
      </c>
      <c r="W62" s="55">
        <v>0.0</v>
      </c>
      <c r="X62" s="55">
        <f t="shared" ref="X62:Y62" si="61">S62+V62</f>
        <v>0</v>
      </c>
      <c r="Y62" s="55">
        <f t="shared" si="61"/>
        <v>0</v>
      </c>
      <c r="Z62" s="55">
        <f t="shared" si="26"/>
        <v>0</v>
      </c>
      <c r="AA62" s="55">
        <f t="shared" si="27"/>
        <v>0</v>
      </c>
      <c r="AB62" s="55">
        <v>0.0</v>
      </c>
      <c r="AC62" s="55">
        <v>0.0</v>
      </c>
      <c r="AD62" s="55">
        <v>0.0</v>
      </c>
      <c r="AE62" s="55">
        <v>0.0</v>
      </c>
      <c r="AF62" s="55">
        <v>0.0</v>
      </c>
      <c r="AG62" s="55">
        <v>0.0</v>
      </c>
      <c r="AH62" s="55" t="s">
        <v>47</v>
      </c>
    </row>
    <row r="63">
      <c r="A63" s="55">
        <v>29.0</v>
      </c>
      <c r="B63" s="58">
        <v>4.0</v>
      </c>
      <c r="C63" s="55">
        <v>0.0</v>
      </c>
      <c r="D63" s="55">
        <v>0.0</v>
      </c>
      <c r="E63" s="55">
        <v>0.0</v>
      </c>
      <c r="F63" s="55">
        <v>0.0</v>
      </c>
      <c r="G63" s="55">
        <v>2.0</v>
      </c>
      <c r="H63" s="55">
        <v>3.0</v>
      </c>
      <c r="I63" s="55">
        <v>0.0</v>
      </c>
      <c r="J63" s="55">
        <v>2.0</v>
      </c>
      <c r="K63" s="55">
        <v>29.0</v>
      </c>
      <c r="L63" s="55">
        <v>1.0</v>
      </c>
      <c r="M63" s="55">
        <v>1.0</v>
      </c>
      <c r="N63" s="55">
        <v>25.0</v>
      </c>
      <c r="O63" s="55">
        <v>0.0</v>
      </c>
      <c r="P63" s="55">
        <v>0.0</v>
      </c>
      <c r="Q63" s="55">
        <v>0.0</v>
      </c>
      <c r="R63" s="55">
        <v>0.0</v>
      </c>
      <c r="S63" s="55">
        <v>0.0</v>
      </c>
      <c r="T63" s="55">
        <v>0.0</v>
      </c>
      <c r="U63" s="55">
        <v>0.0</v>
      </c>
      <c r="V63" s="55">
        <v>1.0</v>
      </c>
      <c r="W63" s="55">
        <v>54.0</v>
      </c>
      <c r="X63" s="55">
        <f t="shared" ref="X63:Y63" si="62">S63+V63</f>
        <v>1</v>
      </c>
      <c r="Y63" s="55">
        <f t="shared" si="62"/>
        <v>54</v>
      </c>
      <c r="Z63" s="55">
        <f t="shared" si="26"/>
        <v>5</v>
      </c>
      <c r="AA63" s="55">
        <f t="shared" si="27"/>
        <v>5</v>
      </c>
      <c r="AB63" s="55">
        <v>0.0</v>
      </c>
      <c r="AC63" s="55">
        <v>0.0</v>
      </c>
      <c r="AD63" s="55">
        <v>0.0</v>
      </c>
      <c r="AE63" s="55">
        <v>0.0</v>
      </c>
      <c r="AF63" s="55">
        <v>0.0</v>
      </c>
      <c r="AG63" s="55">
        <v>0.0</v>
      </c>
      <c r="AH63" s="57"/>
    </row>
    <row r="64">
      <c r="A64" s="55">
        <v>30.0</v>
      </c>
      <c r="B64" s="58">
        <v>4.0</v>
      </c>
      <c r="C64" s="57"/>
      <c r="D64" s="57"/>
      <c r="E64" s="57"/>
      <c r="F64" s="57"/>
      <c r="G64" s="57"/>
      <c r="H64" s="57"/>
      <c r="I64" s="57"/>
      <c r="J64" s="57"/>
      <c r="K64" s="57"/>
      <c r="L64" s="57"/>
      <c r="M64" s="57"/>
      <c r="N64" s="57"/>
      <c r="O64" s="57"/>
      <c r="P64" s="57"/>
      <c r="Q64" s="57"/>
      <c r="R64" s="57"/>
      <c r="S64" s="57"/>
      <c r="T64" s="57"/>
      <c r="U64" s="57"/>
      <c r="V64" s="57"/>
      <c r="W64" s="57"/>
      <c r="X64" s="55">
        <f t="shared" ref="X64:Y64" si="63">S64+V64</f>
        <v>0</v>
      </c>
      <c r="Y64" s="55">
        <f t="shared" si="63"/>
        <v>0</v>
      </c>
      <c r="Z64" s="55">
        <f t="shared" si="26"/>
        <v>0</v>
      </c>
      <c r="AA64" s="55">
        <f t="shared" si="27"/>
        <v>0</v>
      </c>
      <c r="AB64" s="57"/>
      <c r="AC64" s="57"/>
      <c r="AD64" s="57"/>
      <c r="AE64" s="57"/>
      <c r="AF64" s="57"/>
      <c r="AG64" s="57"/>
      <c r="AH64" s="57"/>
    </row>
    <row r="65">
      <c r="A65" s="55">
        <v>1.0</v>
      </c>
      <c r="B65" s="58">
        <v>5.0</v>
      </c>
      <c r="C65" s="57"/>
      <c r="D65" s="57"/>
      <c r="E65" s="57"/>
      <c r="F65" s="57"/>
      <c r="G65" s="57"/>
      <c r="H65" s="57"/>
      <c r="I65" s="57"/>
      <c r="J65" s="57"/>
      <c r="K65" s="57"/>
      <c r="L65" s="57"/>
      <c r="M65" s="57"/>
      <c r="N65" s="57"/>
      <c r="O65" s="57"/>
      <c r="P65" s="57"/>
      <c r="Q65" s="57"/>
      <c r="R65" s="57"/>
      <c r="S65" s="57"/>
      <c r="T65" s="57"/>
      <c r="U65" s="57"/>
      <c r="V65" s="57"/>
      <c r="W65" s="57"/>
      <c r="X65" s="55">
        <f t="shared" ref="X65:Y65" si="64">S65+V65</f>
        <v>0</v>
      </c>
      <c r="Y65" s="55">
        <f t="shared" si="64"/>
        <v>0</v>
      </c>
      <c r="Z65" s="55">
        <f t="shared" si="26"/>
        <v>0</v>
      </c>
      <c r="AA65" s="55">
        <f t="shared" si="27"/>
        <v>0</v>
      </c>
      <c r="AB65" s="57"/>
      <c r="AC65" s="57"/>
      <c r="AD65" s="57"/>
      <c r="AE65" s="57"/>
      <c r="AF65" s="57"/>
      <c r="AG65" s="57"/>
      <c r="AH65" s="57"/>
    </row>
    <row r="66">
      <c r="A66" s="55">
        <v>2.0</v>
      </c>
      <c r="B66" s="58">
        <v>5.0</v>
      </c>
      <c r="C66" s="57"/>
      <c r="D66" s="57"/>
      <c r="E66" s="57"/>
      <c r="F66" s="57"/>
      <c r="G66" s="57"/>
      <c r="H66" s="57"/>
      <c r="I66" s="57"/>
      <c r="J66" s="57"/>
      <c r="K66" s="57"/>
      <c r="L66" s="57"/>
      <c r="M66" s="57"/>
      <c r="N66" s="57"/>
      <c r="O66" s="57"/>
      <c r="P66" s="57"/>
      <c r="Q66" s="57"/>
      <c r="R66" s="57"/>
      <c r="S66" s="57"/>
      <c r="T66" s="57"/>
      <c r="U66" s="57"/>
      <c r="V66" s="57"/>
      <c r="W66" s="57"/>
      <c r="X66" s="55">
        <f t="shared" ref="X66:Y66" si="65">S66+V66</f>
        <v>0</v>
      </c>
      <c r="Y66" s="55">
        <f t="shared" si="65"/>
        <v>0</v>
      </c>
      <c r="Z66" s="55">
        <f t="shared" si="26"/>
        <v>0</v>
      </c>
      <c r="AA66" s="55">
        <f t="shared" si="27"/>
        <v>0</v>
      </c>
      <c r="AB66" s="57"/>
      <c r="AC66" s="57"/>
      <c r="AD66" s="57"/>
      <c r="AE66" s="57"/>
      <c r="AF66" s="57"/>
      <c r="AG66" s="57"/>
      <c r="AH66" s="57"/>
    </row>
    <row r="67">
      <c r="A67" s="55">
        <v>3.0</v>
      </c>
      <c r="B67" s="58">
        <v>5.0</v>
      </c>
      <c r="C67" s="57"/>
      <c r="D67" s="57"/>
      <c r="E67" s="57"/>
      <c r="F67" s="57"/>
      <c r="G67" s="57"/>
      <c r="H67" s="57"/>
      <c r="I67" s="57"/>
      <c r="J67" s="57"/>
      <c r="K67" s="57"/>
      <c r="L67" s="57"/>
      <c r="M67" s="57"/>
      <c r="N67" s="57"/>
      <c r="O67" s="57"/>
      <c r="P67" s="57"/>
      <c r="Q67" s="57"/>
      <c r="R67" s="57"/>
      <c r="S67" s="57"/>
      <c r="T67" s="57"/>
      <c r="U67" s="57"/>
      <c r="V67" s="57"/>
      <c r="W67" s="57"/>
      <c r="X67" s="55">
        <f t="shared" ref="X67:Y67" si="66">S67+V67</f>
        <v>0</v>
      </c>
      <c r="Y67" s="55">
        <f t="shared" si="66"/>
        <v>0</v>
      </c>
      <c r="Z67" s="55">
        <f t="shared" si="26"/>
        <v>0</v>
      </c>
      <c r="AA67" s="55">
        <f t="shared" si="27"/>
        <v>0</v>
      </c>
      <c r="AB67" s="57"/>
      <c r="AC67" s="57"/>
      <c r="AD67" s="57"/>
      <c r="AE67" s="57"/>
      <c r="AF67" s="57"/>
      <c r="AG67" s="57"/>
      <c r="AH67" s="57"/>
    </row>
    <row r="68">
      <c r="A68" s="55">
        <v>4.0</v>
      </c>
      <c r="B68" s="58">
        <v>5.0</v>
      </c>
      <c r="C68" s="57"/>
      <c r="D68" s="57"/>
      <c r="E68" s="57"/>
      <c r="F68" s="57"/>
      <c r="G68" s="57"/>
      <c r="H68" s="57"/>
      <c r="I68" s="57"/>
      <c r="J68" s="57"/>
      <c r="K68" s="57"/>
      <c r="L68" s="57"/>
      <c r="M68" s="57"/>
      <c r="N68" s="57"/>
      <c r="O68" s="57"/>
      <c r="P68" s="57"/>
      <c r="Q68" s="57"/>
      <c r="R68" s="57"/>
      <c r="S68" s="57"/>
      <c r="T68" s="57"/>
      <c r="U68" s="57"/>
      <c r="V68" s="57"/>
      <c r="W68" s="57"/>
      <c r="X68" s="55">
        <f t="shared" ref="X68:Y68" si="67">S68+V68</f>
        <v>0</v>
      </c>
      <c r="Y68" s="55">
        <f t="shared" si="67"/>
        <v>0</v>
      </c>
      <c r="Z68" s="55">
        <f t="shared" si="26"/>
        <v>0</v>
      </c>
      <c r="AA68" s="55">
        <f t="shared" si="27"/>
        <v>0</v>
      </c>
      <c r="AB68" s="57"/>
      <c r="AC68" s="57"/>
      <c r="AD68" s="57"/>
      <c r="AE68" s="57"/>
      <c r="AF68" s="57"/>
      <c r="AG68" s="57"/>
      <c r="AH68" s="57"/>
    </row>
    <row r="69">
      <c r="A69" s="55">
        <v>5.0</v>
      </c>
      <c r="B69" s="58">
        <v>5.0</v>
      </c>
      <c r="C69" s="57"/>
      <c r="D69" s="57"/>
      <c r="E69" s="57"/>
      <c r="F69" s="57"/>
      <c r="G69" s="57"/>
      <c r="H69" s="57"/>
      <c r="I69" s="57"/>
      <c r="J69" s="57"/>
      <c r="K69" s="57"/>
      <c r="L69" s="57"/>
      <c r="M69" s="57"/>
      <c r="N69" s="57"/>
      <c r="O69" s="57"/>
      <c r="P69" s="57"/>
      <c r="Q69" s="57"/>
      <c r="R69" s="57"/>
      <c r="S69" s="57"/>
      <c r="T69" s="57"/>
      <c r="U69" s="57"/>
      <c r="V69" s="57"/>
      <c r="W69" s="57"/>
      <c r="X69" s="55">
        <f t="shared" ref="X69:Y69" si="68">S69+V69</f>
        <v>0</v>
      </c>
      <c r="Y69" s="55">
        <f t="shared" si="68"/>
        <v>0</v>
      </c>
      <c r="Z69" s="55">
        <f t="shared" si="26"/>
        <v>0</v>
      </c>
      <c r="AA69" s="55">
        <f t="shared" si="27"/>
        <v>0</v>
      </c>
      <c r="AB69" s="57"/>
      <c r="AC69" s="57"/>
      <c r="AD69" s="57"/>
      <c r="AE69" s="57"/>
      <c r="AF69" s="57"/>
      <c r="AG69" s="57"/>
      <c r="AH69" s="57"/>
    </row>
    <row r="70">
      <c r="A70" s="55">
        <v>6.0</v>
      </c>
      <c r="B70" s="58">
        <v>5.0</v>
      </c>
      <c r="C70" s="57"/>
      <c r="D70" s="57"/>
      <c r="E70" s="57"/>
      <c r="F70" s="57"/>
      <c r="G70" s="57"/>
      <c r="H70" s="57"/>
      <c r="I70" s="57"/>
      <c r="J70" s="57"/>
      <c r="K70" s="57"/>
      <c r="L70" s="57"/>
      <c r="M70" s="57"/>
      <c r="N70" s="57"/>
      <c r="O70" s="57"/>
      <c r="P70" s="57"/>
      <c r="Q70" s="57"/>
      <c r="R70" s="57"/>
      <c r="S70" s="57"/>
      <c r="T70" s="57"/>
      <c r="U70" s="57"/>
      <c r="V70" s="57"/>
      <c r="W70" s="57"/>
      <c r="X70" s="55">
        <f t="shared" ref="X70:Y70" si="69">S70+V70</f>
        <v>0</v>
      </c>
      <c r="Y70" s="55">
        <f t="shared" si="69"/>
        <v>0</v>
      </c>
      <c r="Z70" s="55">
        <f t="shared" si="26"/>
        <v>0</v>
      </c>
      <c r="AA70" s="55">
        <f t="shared" si="27"/>
        <v>0</v>
      </c>
      <c r="AB70" s="57"/>
      <c r="AC70" s="57"/>
      <c r="AD70" s="57"/>
      <c r="AE70" s="57"/>
      <c r="AF70" s="57"/>
      <c r="AG70" s="57"/>
      <c r="AH70" s="57"/>
    </row>
    <row r="71">
      <c r="A71" s="55">
        <v>7.0</v>
      </c>
      <c r="B71" s="58">
        <v>5.0</v>
      </c>
      <c r="C71" s="57"/>
      <c r="D71" s="57"/>
      <c r="E71" s="57"/>
      <c r="F71" s="57"/>
      <c r="G71" s="57"/>
      <c r="H71" s="57"/>
      <c r="I71" s="57"/>
      <c r="J71" s="57"/>
      <c r="K71" s="57"/>
      <c r="L71" s="57"/>
      <c r="M71" s="57"/>
      <c r="N71" s="57"/>
      <c r="O71" s="57"/>
      <c r="P71" s="57"/>
      <c r="Q71" s="57"/>
      <c r="R71" s="57"/>
      <c r="S71" s="57"/>
      <c r="T71" s="57"/>
      <c r="U71" s="57"/>
      <c r="V71" s="57"/>
      <c r="W71" s="57"/>
      <c r="X71" s="55">
        <f t="shared" ref="X71:Y71" si="70">S71+V71</f>
        <v>0</v>
      </c>
      <c r="Y71" s="55">
        <f t="shared" si="70"/>
        <v>0</v>
      </c>
      <c r="Z71" s="55">
        <f t="shared" si="26"/>
        <v>0</v>
      </c>
      <c r="AA71" s="55">
        <f t="shared" si="27"/>
        <v>0</v>
      </c>
      <c r="AB71" s="57"/>
      <c r="AC71" s="57"/>
      <c r="AD71" s="57"/>
      <c r="AE71" s="57"/>
      <c r="AF71" s="57"/>
      <c r="AG71" s="57"/>
      <c r="AH71" s="57"/>
    </row>
    <row r="72">
      <c r="A72" s="55">
        <v>8.0</v>
      </c>
      <c r="B72" s="58">
        <v>5.0</v>
      </c>
      <c r="C72" s="57"/>
      <c r="D72" s="57"/>
      <c r="E72" s="57"/>
      <c r="F72" s="57"/>
      <c r="G72" s="57"/>
      <c r="H72" s="57"/>
      <c r="I72" s="57"/>
      <c r="J72" s="57"/>
      <c r="K72" s="57"/>
      <c r="L72" s="57"/>
      <c r="M72" s="57"/>
      <c r="N72" s="57"/>
      <c r="O72" s="57"/>
      <c r="P72" s="57"/>
      <c r="Q72" s="57"/>
      <c r="R72" s="57"/>
      <c r="S72" s="57"/>
      <c r="T72" s="57"/>
      <c r="U72" s="57"/>
      <c r="V72" s="57"/>
      <c r="W72" s="57"/>
      <c r="X72" s="55">
        <f t="shared" ref="X72:Y72" si="71">S72+V72</f>
        <v>0</v>
      </c>
      <c r="Y72" s="55">
        <f t="shared" si="71"/>
        <v>0</v>
      </c>
      <c r="Z72" s="55">
        <f t="shared" si="26"/>
        <v>0</v>
      </c>
      <c r="AA72" s="55">
        <f t="shared" si="27"/>
        <v>0</v>
      </c>
      <c r="AB72" s="57"/>
      <c r="AC72" s="57"/>
      <c r="AD72" s="57"/>
      <c r="AE72" s="57"/>
      <c r="AF72" s="57"/>
      <c r="AG72" s="57"/>
      <c r="AH72" s="57"/>
    </row>
    <row r="73">
      <c r="A73" s="55">
        <v>9.0</v>
      </c>
      <c r="B73" s="58">
        <v>5.0</v>
      </c>
      <c r="C73" s="57"/>
      <c r="D73" s="57"/>
      <c r="E73" s="57"/>
      <c r="F73" s="57"/>
      <c r="G73" s="57"/>
      <c r="H73" s="57"/>
      <c r="I73" s="57"/>
      <c r="J73" s="57"/>
      <c r="K73" s="57"/>
      <c r="L73" s="57"/>
      <c r="M73" s="57"/>
      <c r="N73" s="57"/>
      <c r="O73" s="57"/>
      <c r="P73" s="57"/>
      <c r="Q73" s="57"/>
      <c r="R73" s="57"/>
      <c r="S73" s="57"/>
      <c r="T73" s="57"/>
      <c r="U73" s="57"/>
      <c r="V73" s="57"/>
      <c r="W73" s="57"/>
      <c r="X73" s="55">
        <f t="shared" ref="X73:Y73" si="72">S73+V73</f>
        <v>0</v>
      </c>
      <c r="Y73" s="55">
        <f t="shared" si="72"/>
        <v>0</v>
      </c>
      <c r="Z73" s="55">
        <f t="shared" si="26"/>
        <v>0</v>
      </c>
      <c r="AA73" s="55">
        <f t="shared" si="27"/>
        <v>0</v>
      </c>
      <c r="AB73" s="57"/>
      <c r="AC73" s="57"/>
      <c r="AD73" s="57"/>
      <c r="AE73" s="57"/>
      <c r="AF73" s="57"/>
      <c r="AG73" s="57"/>
      <c r="AH73" s="57"/>
    </row>
    <row r="74">
      <c r="A74" s="55">
        <v>10.0</v>
      </c>
      <c r="B74" s="58">
        <v>5.0</v>
      </c>
      <c r="C74" s="57"/>
      <c r="D74" s="57"/>
      <c r="E74" s="57"/>
      <c r="F74" s="57"/>
      <c r="G74" s="57"/>
      <c r="H74" s="57"/>
      <c r="I74" s="57"/>
      <c r="J74" s="57"/>
      <c r="K74" s="57"/>
      <c r="L74" s="57"/>
      <c r="M74" s="57"/>
      <c r="N74" s="57"/>
      <c r="O74" s="57"/>
      <c r="P74" s="57"/>
      <c r="Q74" s="57"/>
      <c r="R74" s="57"/>
      <c r="S74" s="57"/>
      <c r="T74" s="57"/>
      <c r="U74" s="57"/>
      <c r="V74" s="57"/>
      <c r="W74" s="57"/>
      <c r="X74" s="55">
        <f t="shared" ref="X74:Y74" si="73">S74+V74</f>
        <v>0</v>
      </c>
      <c r="Y74" s="55">
        <f t="shared" si="73"/>
        <v>0</v>
      </c>
      <c r="Z74" s="55">
        <f t="shared" si="26"/>
        <v>0</v>
      </c>
      <c r="AA74" s="55">
        <f t="shared" si="27"/>
        <v>0</v>
      </c>
      <c r="AB74" s="57"/>
      <c r="AC74" s="57"/>
      <c r="AD74" s="57"/>
      <c r="AE74" s="57"/>
      <c r="AF74" s="57"/>
      <c r="AG74" s="57"/>
      <c r="AH74" s="57"/>
    </row>
    <row r="75">
      <c r="A75" s="55">
        <v>11.0</v>
      </c>
      <c r="B75" s="58">
        <v>5.0</v>
      </c>
      <c r="C75" s="57"/>
      <c r="D75" s="57"/>
      <c r="E75" s="57"/>
      <c r="F75" s="57"/>
      <c r="G75" s="57"/>
      <c r="H75" s="57"/>
      <c r="I75" s="57"/>
      <c r="J75" s="57"/>
      <c r="K75" s="57"/>
      <c r="L75" s="57"/>
      <c r="M75" s="57"/>
      <c r="N75" s="57"/>
      <c r="O75" s="57"/>
      <c r="P75" s="57"/>
      <c r="Q75" s="57"/>
      <c r="R75" s="57"/>
      <c r="S75" s="57"/>
      <c r="T75" s="57"/>
      <c r="U75" s="57"/>
      <c r="V75" s="57"/>
      <c r="W75" s="57"/>
      <c r="X75" s="55">
        <f t="shared" ref="X75:Y75" si="74">S75+V75</f>
        <v>0</v>
      </c>
      <c r="Y75" s="55">
        <f t="shared" si="74"/>
        <v>0</v>
      </c>
      <c r="Z75" s="55">
        <f t="shared" si="26"/>
        <v>0</v>
      </c>
      <c r="AA75" s="55">
        <f t="shared" si="27"/>
        <v>0</v>
      </c>
      <c r="AB75" s="57"/>
      <c r="AC75" s="57"/>
      <c r="AD75" s="57"/>
      <c r="AE75" s="57"/>
      <c r="AF75" s="57"/>
      <c r="AG75" s="57"/>
      <c r="AH75" s="57"/>
    </row>
    <row r="76">
      <c r="A76" s="55">
        <v>12.0</v>
      </c>
      <c r="B76" s="58">
        <v>5.0</v>
      </c>
      <c r="C76" s="57"/>
      <c r="D76" s="57"/>
      <c r="E76" s="57"/>
      <c r="F76" s="57"/>
      <c r="G76" s="57"/>
      <c r="H76" s="57"/>
      <c r="I76" s="57"/>
      <c r="J76" s="57"/>
      <c r="K76" s="57"/>
      <c r="L76" s="57"/>
      <c r="M76" s="57"/>
      <c r="N76" s="57"/>
      <c r="O76" s="57"/>
      <c r="P76" s="57"/>
      <c r="Q76" s="57"/>
      <c r="R76" s="57"/>
      <c r="S76" s="57"/>
      <c r="T76" s="57"/>
      <c r="U76" s="57"/>
      <c r="V76" s="57"/>
      <c r="W76" s="57"/>
      <c r="X76" s="55">
        <f t="shared" ref="X76:Y76" si="75">S76+V76</f>
        <v>0</v>
      </c>
      <c r="Y76" s="55">
        <f t="shared" si="75"/>
        <v>0</v>
      </c>
      <c r="Z76" s="55">
        <f t="shared" si="26"/>
        <v>0</v>
      </c>
      <c r="AA76" s="55">
        <f t="shared" si="27"/>
        <v>0</v>
      </c>
      <c r="AB76" s="57"/>
      <c r="AC76" s="57"/>
      <c r="AD76" s="57"/>
      <c r="AE76" s="57"/>
      <c r="AF76" s="57"/>
      <c r="AG76" s="57"/>
      <c r="AH76" s="57"/>
    </row>
    <row r="77">
      <c r="A77" s="55">
        <v>13.0</v>
      </c>
      <c r="B77" s="58">
        <v>5.0</v>
      </c>
      <c r="C77" s="57"/>
      <c r="D77" s="57"/>
      <c r="E77" s="57"/>
      <c r="F77" s="57"/>
      <c r="G77" s="57"/>
      <c r="H77" s="57"/>
      <c r="I77" s="57"/>
      <c r="J77" s="57"/>
      <c r="K77" s="57"/>
      <c r="L77" s="57"/>
      <c r="M77" s="57"/>
      <c r="N77" s="57"/>
      <c r="O77" s="57"/>
      <c r="P77" s="57"/>
      <c r="Q77" s="57"/>
      <c r="R77" s="57"/>
      <c r="S77" s="57"/>
      <c r="T77" s="57"/>
      <c r="U77" s="57"/>
      <c r="V77" s="57"/>
      <c r="W77" s="57"/>
      <c r="X77" s="55">
        <f t="shared" ref="X77:Y77" si="76">S77+V77</f>
        <v>0</v>
      </c>
      <c r="Y77" s="55">
        <f t="shared" si="76"/>
        <v>0</v>
      </c>
      <c r="Z77" s="55">
        <f t="shared" si="26"/>
        <v>0</v>
      </c>
      <c r="AA77" s="55">
        <f t="shared" si="27"/>
        <v>0</v>
      </c>
      <c r="AB77" s="57"/>
      <c r="AC77" s="57"/>
      <c r="AD77" s="57"/>
      <c r="AE77" s="57"/>
      <c r="AF77" s="57"/>
      <c r="AG77" s="57"/>
      <c r="AH77" s="57"/>
    </row>
    <row r="78">
      <c r="A78" s="55">
        <v>14.0</v>
      </c>
      <c r="B78" s="58">
        <v>5.0</v>
      </c>
      <c r="C78" s="57"/>
      <c r="D78" s="57"/>
      <c r="E78" s="57"/>
      <c r="F78" s="57"/>
      <c r="G78" s="57"/>
      <c r="H78" s="57"/>
      <c r="I78" s="57"/>
      <c r="J78" s="57"/>
      <c r="K78" s="57"/>
      <c r="L78" s="57"/>
      <c r="M78" s="57"/>
      <c r="N78" s="57"/>
      <c r="O78" s="57"/>
      <c r="P78" s="57"/>
      <c r="Q78" s="57"/>
      <c r="R78" s="57"/>
      <c r="S78" s="57"/>
      <c r="T78" s="57"/>
      <c r="U78" s="57"/>
      <c r="V78" s="57"/>
      <c r="W78" s="57"/>
      <c r="X78" s="55">
        <f t="shared" ref="X78:Y78" si="77">S78+V78</f>
        <v>0</v>
      </c>
      <c r="Y78" s="55">
        <f t="shared" si="77"/>
        <v>0</v>
      </c>
      <c r="Z78" s="55">
        <f t="shared" si="26"/>
        <v>0</v>
      </c>
      <c r="AA78" s="55">
        <f t="shared" si="27"/>
        <v>0</v>
      </c>
      <c r="AB78" s="57"/>
      <c r="AC78" s="57"/>
      <c r="AD78" s="57"/>
      <c r="AE78" s="57"/>
      <c r="AF78" s="57"/>
      <c r="AG78" s="57"/>
      <c r="AH78" s="57"/>
    </row>
    <row r="79">
      <c r="A79" s="55">
        <v>15.0</v>
      </c>
      <c r="B79" s="58">
        <v>5.0</v>
      </c>
      <c r="C79" s="57"/>
      <c r="D79" s="57"/>
      <c r="E79" s="57"/>
      <c r="F79" s="57"/>
      <c r="G79" s="57"/>
      <c r="H79" s="57"/>
      <c r="I79" s="57"/>
      <c r="J79" s="57"/>
      <c r="K79" s="57"/>
      <c r="L79" s="57"/>
      <c r="M79" s="57"/>
      <c r="N79" s="57"/>
      <c r="O79" s="57"/>
      <c r="P79" s="57"/>
      <c r="Q79" s="57"/>
      <c r="R79" s="57"/>
      <c r="S79" s="57"/>
      <c r="T79" s="57"/>
      <c r="U79" s="57"/>
      <c r="V79" s="57"/>
      <c r="W79" s="57"/>
      <c r="X79" s="55">
        <f t="shared" ref="X79:Y79" si="78">S79+V79</f>
        <v>0</v>
      </c>
      <c r="Y79" s="55">
        <f t="shared" si="78"/>
        <v>0</v>
      </c>
      <c r="Z79" s="55">
        <f t="shared" si="26"/>
        <v>0</v>
      </c>
      <c r="AA79" s="55">
        <f t="shared" si="27"/>
        <v>0</v>
      </c>
      <c r="AB79" s="57"/>
      <c r="AC79" s="57"/>
      <c r="AD79" s="57"/>
      <c r="AE79" s="57"/>
      <c r="AF79" s="57"/>
      <c r="AG79" s="57"/>
      <c r="AH79" s="57"/>
    </row>
    <row r="80">
      <c r="A80" s="55">
        <v>16.0</v>
      </c>
      <c r="B80" s="58">
        <v>5.0</v>
      </c>
      <c r="C80" s="57"/>
      <c r="D80" s="57"/>
      <c r="E80" s="57"/>
      <c r="F80" s="57"/>
      <c r="G80" s="57"/>
      <c r="H80" s="57"/>
      <c r="I80" s="57"/>
      <c r="J80" s="57"/>
      <c r="K80" s="57"/>
      <c r="L80" s="57"/>
      <c r="M80" s="57"/>
      <c r="N80" s="57"/>
      <c r="O80" s="57"/>
      <c r="P80" s="57"/>
      <c r="Q80" s="57"/>
      <c r="R80" s="57"/>
      <c r="S80" s="57"/>
      <c r="T80" s="57"/>
      <c r="U80" s="57"/>
      <c r="V80" s="57"/>
      <c r="W80" s="57"/>
      <c r="X80" s="55">
        <f t="shared" ref="X80:Y80" si="79">S80+V80</f>
        <v>0</v>
      </c>
      <c r="Y80" s="55">
        <f t="shared" si="79"/>
        <v>0</v>
      </c>
      <c r="Z80" s="55">
        <f t="shared" si="26"/>
        <v>0</v>
      </c>
      <c r="AA80" s="55">
        <f t="shared" si="27"/>
        <v>0</v>
      </c>
      <c r="AB80" s="57"/>
      <c r="AC80" s="57"/>
      <c r="AD80" s="57"/>
      <c r="AE80" s="57"/>
      <c r="AF80" s="57"/>
      <c r="AG80" s="57"/>
      <c r="AH80" s="57"/>
    </row>
    <row r="81">
      <c r="A81" s="55">
        <v>17.0</v>
      </c>
      <c r="B81" s="58">
        <v>5.0</v>
      </c>
      <c r="C81" s="57"/>
      <c r="D81" s="57"/>
      <c r="E81" s="57"/>
      <c r="F81" s="57"/>
      <c r="G81" s="57"/>
      <c r="H81" s="57"/>
      <c r="I81" s="57"/>
      <c r="J81" s="57"/>
      <c r="K81" s="57"/>
      <c r="L81" s="57"/>
      <c r="M81" s="57"/>
      <c r="N81" s="57"/>
      <c r="O81" s="57"/>
      <c r="P81" s="57"/>
      <c r="Q81" s="57"/>
      <c r="R81" s="57"/>
      <c r="S81" s="57"/>
      <c r="T81" s="57"/>
      <c r="U81" s="57"/>
      <c r="V81" s="57"/>
      <c r="W81" s="57"/>
      <c r="X81" s="55">
        <f t="shared" ref="X81:Y81" si="80">S81+V81</f>
        <v>0</v>
      </c>
      <c r="Y81" s="55">
        <f t="shared" si="80"/>
        <v>0</v>
      </c>
      <c r="Z81" s="55">
        <f t="shared" si="26"/>
        <v>0</v>
      </c>
      <c r="AA81" s="55">
        <f t="shared" si="27"/>
        <v>0</v>
      </c>
      <c r="AB81" s="57"/>
      <c r="AC81" s="57"/>
      <c r="AD81" s="57"/>
      <c r="AE81" s="57"/>
      <c r="AF81" s="57"/>
      <c r="AG81" s="57"/>
      <c r="AH81" s="57"/>
    </row>
    <row r="82">
      <c r="A82" s="55">
        <v>18.0</v>
      </c>
      <c r="B82" s="58">
        <v>5.0</v>
      </c>
      <c r="C82" s="57"/>
      <c r="D82" s="57"/>
      <c r="E82" s="57"/>
      <c r="F82" s="57"/>
      <c r="G82" s="57"/>
      <c r="H82" s="57"/>
      <c r="I82" s="57"/>
      <c r="J82" s="57"/>
      <c r="K82" s="57"/>
      <c r="L82" s="57"/>
      <c r="M82" s="57"/>
      <c r="N82" s="57"/>
      <c r="O82" s="57"/>
      <c r="P82" s="57"/>
      <c r="Q82" s="57"/>
      <c r="R82" s="57"/>
      <c r="S82" s="57"/>
      <c r="T82" s="57"/>
      <c r="U82" s="57"/>
      <c r="V82" s="57"/>
      <c r="W82" s="57"/>
      <c r="X82" s="55">
        <f t="shared" ref="X82:Y82" si="81">S82+V82</f>
        <v>0</v>
      </c>
      <c r="Y82" s="55">
        <f t="shared" si="81"/>
        <v>0</v>
      </c>
      <c r="Z82" s="55">
        <f t="shared" si="26"/>
        <v>0</v>
      </c>
      <c r="AA82" s="55">
        <f t="shared" si="27"/>
        <v>0</v>
      </c>
      <c r="AB82" s="57"/>
      <c r="AC82" s="57"/>
      <c r="AD82" s="57"/>
      <c r="AE82" s="57"/>
      <c r="AF82" s="57"/>
      <c r="AG82" s="57"/>
      <c r="AH82" s="57"/>
    </row>
    <row r="83">
      <c r="A83" s="55">
        <v>19.0</v>
      </c>
      <c r="B83" s="58">
        <v>5.0</v>
      </c>
      <c r="C83" s="57"/>
      <c r="D83" s="57"/>
      <c r="E83" s="57"/>
      <c r="F83" s="57"/>
      <c r="G83" s="57"/>
      <c r="H83" s="57"/>
      <c r="I83" s="57"/>
      <c r="J83" s="57"/>
      <c r="K83" s="57"/>
      <c r="L83" s="57"/>
      <c r="M83" s="57"/>
      <c r="N83" s="57"/>
      <c r="O83" s="57"/>
      <c r="P83" s="57"/>
      <c r="Q83" s="57"/>
      <c r="R83" s="57"/>
      <c r="S83" s="57"/>
      <c r="T83" s="57"/>
      <c r="U83" s="57"/>
      <c r="V83" s="57"/>
      <c r="W83" s="57"/>
      <c r="X83" s="55">
        <f t="shared" ref="X83:Y83" si="82">S83+V83</f>
        <v>0</v>
      </c>
      <c r="Y83" s="55">
        <f t="shared" si="82"/>
        <v>0</v>
      </c>
      <c r="Z83" s="55">
        <f t="shared" si="26"/>
        <v>0</v>
      </c>
      <c r="AA83" s="55">
        <f t="shared" si="27"/>
        <v>0</v>
      </c>
      <c r="AB83" s="57"/>
      <c r="AC83" s="57"/>
      <c r="AD83" s="57"/>
      <c r="AE83" s="57"/>
      <c r="AF83" s="57"/>
      <c r="AG83" s="57"/>
      <c r="AH83" s="57"/>
    </row>
    <row r="84">
      <c r="A84" s="55">
        <v>20.0</v>
      </c>
      <c r="B84" s="58">
        <v>5.0</v>
      </c>
      <c r="C84" s="57"/>
      <c r="D84" s="57"/>
      <c r="E84" s="57"/>
      <c r="F84" s="57"/>
      <c r="G84" s="57"/>
      <c r="H84" s="57"/>
      <c r="I84" s="57"/>
      <c r="J84" s="57"/>
      <c r="K84" s="57"/>
      <c r="L84" s="57"/>
      <c r="M84" s="57"/>
      <c r="N84" s="57"/>
      <c r="O84" s="57"/>
      <c r="P84" s="57"/>
      <c r="Q84" s="57"/>
      <c r="R84" s="57"/>
      <c r="S84" s="57"/>
      <c r="T84" s="57"/>
      <c r="U84" s="57"/>
      <c r="V84" s="57"/>
      <c r="W84" s="57"/>
      <c r="X84" s="55">
        <f t="shared" ref="X84:Y84" si="83">S84+V84</f>
        <v>0</v>
      </c>
      <c r="Y84" s="55">
        <f t="shared" si="83"/>
        <v>0</v>
      </c>
      <c r="Z84" s="55">
        <f t="shared" si="26"/>
        <v>0</v>
      </c>
      <c r="AA84" s="55">
        <f t="shared" si="27"/>
        <v>0</v>
      </c>
      <c r="AB84" s="57"/>
      <c r="AC84" s="57"/>
      <c r="AD84" s="57"/>
      <c r="AE84" s="57"/>
      <c r="AF84" s="57"/>
      <c r="AG84" s="57"/>
      <c r="AH84" s="57"/>
    </row>
    <row r="85">
      <c r="A85" s="55">
        <v>21.0</v>
      </c>
      <c r="B85" s="58">
        <v>5.0</v>
      </c>
      <c r="C85" s="57"/>
      <c r="D85" s="57"/>
      <c r="E85" s="57"/>
      <c r="F85" s="57"/>
      <c r="G85" s="57"/>
      <c r="H85" s="57"/>
      <c r="I85" s="57"/>
      <c r="J85" s="57"/>
      <c r="K85" s="57"/>
      <c r="L85" s="57"/>
      <c r="M85" s="57"/>
      <c r="N85" s="57"/>
      <c r="O85" s="57"/>
      <c r="P85" s="57"/>
      <c r="Q85" s="57"/>
      <c r="R85" s="57"/>
      <c r="S85" s="57"/>
      <c r="T85" s="57"/>
      <c r="U85" s="57"/>
      <c r="V85" s="57"/>
      <c r="W85" s="57"/>
      <c r="X85" s="55">
        <f t="shared" ref="X85:Y85" si="84">S85+V85</f>
        <v>0</v>
      </c>
      <c r="Y85" s="55">
        <f t="shared" si="84"/>
        <v>0</v>
      </c>
      <c r="Z85" s="55">
        <f t="shared" si="26"/>
        <v>0</v>
      </c>
      <c r="AA85" s="55">
        <f t="shared" si="27"/>
        <v>0</v>
      </c>
      <c r="AB85" s="57"/>
      <c r="AC85" s="57"/>
      <c r="AD85" s="57"/>
      <c r="AE85" s="57"/>
      <c r="AF85" s="57"/>
      <c r="AG85" s="57"/>
      <c r="AH85" s="57"/>
    </row>
    <row r="86">
      <c r="A86" s="55">
        <v>22.0</v>
      </c>
      <c r="B86" s="58">
        <v>5.0</v>
      </c>
      <c r="C86" s="57"/>
      <c r="D86" s="57"/>
      <c r="E86" s="57"/>
      <c r="F86" s="57"/>
      <c r="G86" s="57"/>
      <c r="H86" s="57"/>
      <c r="I86" s="57"/>
      <c r="J86" s="57"/>
      <c r="K86" s="57"/>
      <c r="L86" s="57"/>
      <c r="M86" s="57"/>
      <c r="N86" s="57"/>
      <c r="O86" s="57"/>
      <c r="P86" s="57"/>
      <c r="Q86" s="57"/>
      <c r="R86" s="57"/>
      <c r="S86" s="57"/>
      <c r="T86" s="57"/>
      <c r="U86" s="57"/>
      <c r="V86" s="57"/>
      <c r="W86" s="57"/>
      <c r="X86" s="55">
        <f t="shared" ref="X86:Y86" si="85">S86+V86</f>
        <v>0</v>
      </c>
      <c r="Y86" s="55">
        <f t="shared" si="85"/>
        <v>0</v>
      </c>
      <c r="Z86" s="55">
        <f t="shared" si="26"/>
        <v>0</v>
      </c>
      <c r="AA86" s="55">
        <f t="shared" si="27"/>
        <v>0</v>
      </c>
      <c r="AB86" s="57"/>
      <c r="AC86" s="57"/>
      <c r="AD86" s="57"/>
      <c r="AE86" s="57"/>
      <c r="AF86" s="57"/>
      <c r="AG86" s="57"/>
      <c r="AH86" s="57"/>
    </row>
    <row r="87">
      <c r="A87" s="55">
        <v>23.0</v>
      </c>
      <c r="B87" s="58">
        <v>5.0</v>
      </c>
      <c r="C87" s="57"/>
      <c r="D87" s="57"/>
      <c r="E87" s="57"/>
      <c r="F87" s="57"/>
      <c r="G87" s="57"/>
      <c r="H87" s="57"/>
      <c r="I87" s="57"/>
      <c r="J87" s="57"/>
      <c r="K87" s="57"/>
      <c r="L87" s="57"/>
      <c r="M87" s="57"/>
      <c r="N87" s="57"/>
      <c r="O87" s="57"/>
      <c r="P87" s="57"/>
      <c r="Q87" s="57"/>
      <c r="R87" s="57"/>
      <c r="S87" s="57"/>
      <c r="T87" s="57"/>
      <c r="U87" s="57"/>
      <c r="V87" s="57"/>
      <c r="W87" s="57"/>
      <c r="X87" s="55">
        <f t="shared" ref="X87:Y87" si="86">S87+V87</f>
        <v>0</v>
      </c>
      <c r="Y87" s="55">
        <f t="shared" si="86"/>
        <v>0</v>
      </c>
      <c r="Z87" s="55">
        <f t="shared" si="26"/>
        <v>0</v>
      </c>
      <c r="AA87" s="55">
        <f t="shared" si="27"/>
        <v>0</v>
      </c>
      <c r="AB87" s="57"/>
      <c r="AC87" s="57"/>
      <c r="AD87" s="57"/>
      <c r="AE87" s="57"/>
      <c r="AF87" s="57"/>
      <c r="AG87" s="57"/>
      <c r="AH87" s="57"/>
    </row>
    <row r="88">
      <c r="A88" s="55">
        <v>24.0</v>
      </c>
      <c r="B88" s="58">
        <v>5.0</v>
      </c>
      <c r="C88" s="57"/>
      <c r="D88" s="57"/>
      <c r="E88" s="57"/>
      <c r="F88" s="57"/>
      <c r="G88" s="57"/>
      <c r="H88" s="57"/>
      <c r="I88" s="57"/>
      <c r="J88" s="57"/>
      <c r="K88" s="57"/>
      <c r="L88" s="57"/>
      <c r="M88" s="57"/>
      <c r="N88" s="57"/>
      <c r="O88" s="57"/>
      <c r="P88" s="57"/>
      <c r="Q88" s="57"/>
      <c r="R88" s="57"/>
      <c r="S88" s="57"/>
      <c r="T88" s="57"/>
      <c r="U88" s="57"/>
      <c r="V88" s="57"/>
      <c r="W88" s="57"/>
      <c r="X88" s="55">
        <f t="shared" ref="X88:Y88" si="87">S88+V88</f>
        <v>0</v>
      </c>
      <c r="Y88" s="55">
        <f t="shared" si="87"/>
        <v>0</v>
      </c>
      <c r="Z88" s="55">
        <f t="shared" si="26"/>
        <v>0</v>
      </c>
      <c r="AA88" s="55">
        <f t="shared" si="27"/>
        <v>0</v>
      </c>
      <c r="AB88" s="57"/>
      <c r="AC88" s="57"/>
      <c r="AD88" s="57"/>
      <c r="AE88" s="57"/>
      <c r="AF88" s="57"/>
      <c r="AG88" s="57"/>
      <c r="AH88" s="57"/>
    </row>
    <row r="89">
      <c r="A89" s="55">
        <v>25.0</v>
      </c>
      <c r="B89" s="58">
        <v>5.0</v>
      </c>
      <c r="C89" s="57"/>
      <c r="D89" s="57"/>
      <c r="E89" s="57"/>
      <c r="F89" s="57"/>
      <c r="G89" s="57"/>
      <c r="H89" s="57"/>
      <c r="I89" s="57"/>
      <c r="J89" s="57"/>
      <c r="K89" s="57"/>
      <c r="L89" s="57"/>
      <c r="M89" s="57"/>
      <c r="N89" s="57"/>
      <c r="O89" s="57"/>
      <c r="P89" s="57"/>
      <c r="Q89" s="57"/>
      <c r="R89" s="57"/>
      <c r="S89" s="57"/>
      <c r="T89" s="57"/>
      <c r="U89" s="57"/>
      <c r="V89" s="57"/>
      <c r="W89" s="57"/>
      <c r="X89" s="55">
        <f t="shared" ref="X89:Y89" si="88">S89+V89</f>
        <v>0</v>
      </c>
      <c r="Y89" s="55">
        <f t="shared" si="88"/>
        <v>0</v>
      </c>
      <c r="Z89" s="55">
        <f t="shared" si="26"/>
        <v>0</v>
      </c>
      <c r="AA89" s="55">
        <f t="shared" si="27"/>
        <v>0</v>
      </c>
      <c r="AB89" s="57"/>
      <c r="AC89" s="57"/>
      <c r="AD89" s="57"/>
      <c r="AE89" s="57"/>
      <c r="AF89" s="57"/>
      <c r="AG89" s="57"/>
      <c r="AH89" s="57"/>
    </row>
    <row r="90">
      <c r="A90" s="55">
        <v>26.0</v>
      </c>
      <c r="B90" s="58">
        <v>5.0</v>
      </c>
      <c r="C90" s="57"/>
      <c r="D90" s="57"/>
      <c r="E90" s="57"/>
      <c r="F90" s="57"/>
      <c r="G90" s="57"/>
      <c r="H90" s="57"/>
      <c r="I90" s="57"/>
      <c r="J90" s="57"/>
      <c r="K90" s="57"/>
      <c r="L90" s="57"/>
      <c r="M90" s="57"/>
      <c r="N90" s="57"/>
      <c r="O90" s="57"/>
      <c r="P90" s="57"/>
      <c r="Q90" s="57"/>
      <c r="R90" s="57"/>
      <c r="S90" s="57"/>
      <c r="T90" s="57"/>
      <c r="U90" s="57"/>
      <c r="V90" s="57"/>
      <c r="W90" s="57"/>
      <c r="X90" s="55">
        <f t="shared" ref="X90:Y90" si="89">S90+V90</f>
        <v>0</v>
      </c>
      <c r="Y90" s="55">
        <f t="shared" si="89"/>
        <v>0</v>
      </c>
      <c r="Z90" s="55">
        <f t="shared" si="26"/>
        <v>0</v>
      </c>
      <c r="AA90" s="55">
        <f t="shared" si="27"/>
        <v>0</v>
      </c>
      <c r="AB90" s="57"/>
      <c r="AC90" s="57"/>
      <c r="AD90" s="57"/>
      <c r="AE90" s="57"/>
      <c r="AF90" s="57"/>
      <c r="AG90" s="57"/>
      <c r="AH90" s="57"/>
    </row>
    <row r="91">
      <c r="A91" s="55">
        <v>27.0</v>
      </c>
      <c r="B91" s="58">
        <v>5.0</v>
      </c>
      <c r="C91" s="57"/>
      <c r="D91" s="57"/>
      <c r="E91" s="57"/>
      <c r="F91" s="57"/>
      <c r="G91" s="57"/>
      <c r="H91" s="57"/>
      <c r="I91" s="57"/>
      <c r="J91" s="57"/>
      <c r="K91" s="57"/>
      <c r="L91" s="57"/>
      <c r="M91" s="57"/>
      <c r="N91" s="57"/>
      <c r="O91" s="57"/>
      <c r="P91" s="57"/>
      <c r="Q91" s="57"/>
      <c r="R91" s="57"/>
      <c r="S91" s="57"/>
      <c r="T91" s="57"/>
      <c r="U91" s="57"/>
      <c r="V91" s="57"/>
      <c r="W91" s="57"/>
      <c r="X91" s="55">
        <f t="shared" ref="X91:Y91" si="90">S91+V91</f>
        <v>0</v>
      </c>
      <c r="Y91" s="55">
        <f t="shared" si="90"/>
        <v>0</v>
      </c>
      <c r="Z91" s="55">
        <f t="shared" si="26"/>
        <v>0</v>
      </c>
      <c r="AA91" s="55">
        <f t="shared" si="27"/>
        <v>0</v>
      </c>
      <c r="AB91" s="57"/>
      <c r="AC91" s="57"/>
      <c r="AD91" s="57"/>
      <c r="AE91" s="57"/>
      <c r="AF91" s="57"/>
      <c r="AG91" s="57"/>
      <c r="AH91" s="57"/>
    </row>
    <row r="92">
      <c r="A92" s="55">
        <v>28.0</v>
      </c>
      <c r="B92" s="58">
        <v>5.0</v>
      </c>
      <c r="C92" s="57"/>
      <c r="D92" s="57"/>
      <c r="E92" s="57"/>
      <c r="F92" s="57"/>
      <c r="G92" s="57"/>
      <c r="H92" s="57"/>
      <c r="I92" s="57"/>
      <c r="J92" s="57"/>
      <c r="K92" s="57"/>
      <c r="L92" s="57"/>
      <c r="M92" s="57"/>
      <c r="N92" s="57"/>
      <c r="O92" s="57"/>
      <c r="P92" s="57"/>
      <c r="Q92" s="57"/>
      <c r="R92" s="57"/>
      <c r="S92" s="57"/>
      <c r="T92" s="57"/>
      <c r="U92" s="57"/>
      <c r="V92" s="57"/>
      <c r="W92" s="57"/>
      <c r="X92" s="55">
        <f t="shared" ref="X92:Y92" si="91">S92+V92</f>
        <v>0</v>
      </c>
      <c r="Y92" s="55">
        <f t="shared" si="91"/>
        <v>0</v>
      </c>
      <c r="Z92" s="55">
        <f t="shared" si="26"/>
        <v>0</v>
      </c>
      <c r="AA92" s="55">
        <f t="shared" si="27"/>
        <v>0</v>
      </c>
      <c r="AB92" s="57"/>
      <c r="AC92" s="57"/>
      <c r="AD92" s="57"/>
      <c r="AE92" s="57"/>
      <c r="AF92" s="57"/>
      <c r="AG92" s="57"/>
      <c r="AH92" s="57"/>
    </row>
    <row r="93">
      <c r="A93" s="55">
        <v>29.0</v>
      </c>
      <c r="B93" s="58">
        <v>5.0</v>
      </c>
      <c r="C93" s="57"/>
      <c r="D93" s="57"/>
      <c r="E93" s="57"/>
      <c r="F93" s="57"/>
      <c r="G93" s="57"/>
      <c r="H93" s="57"/>
      <c r="I93" s="57"/>
      <c r="J93" s="57"/>
      <c r="K93" s="57"/>
      <c r="L93" s="57"/>
      <c r="M93" s="57"/>
      <c r="N93" s="57"/>
      <c r="O93" s="57"/>
      <c r="P93" s="57"/>
      <c r="Q93" s="57"/>
      <c r="R93" s="57"/>
      <c r="S93" s="57"/>
      <c r="T93" s="57"/>
      <c r="U93" s="57"/>
      <c r="V93" s="57"/>
      <c r="W93" s="57"/>
      <c r="X93" s="55">
        <f t="shared" ref="X93:Y93" si="92">S93+V93</f>
        <v>0</v>
      </c>
      <c r="Y93" s="55">
        <f t="shared" si="92"/>
        <v>0</v>
      </c>
      <c r="Z93" s="55">
        <f t="shared" si="26"/>
        <v>0</v>
      </c>
      <c r="AA93" s="55">
        <f t="shared" si="27"/>
        <v>0</v>
      </c>
      <c r="AB93" s="57"/>
      <c r="AC93" s="57"/>
      <c r="AD93" s="57"/>
      <c r="AE93" s="57"/>
      <c r="AF93" s="57"/>
      <c r="AG93" s="57"/>
      <c r="AH93" s="57"/>
    </row>
    <row r="94">
      <c r="A94" s="55">
        <v>30.0</v>
      </c>
      <c r="B94" s="58">
        <v>5.0</v>
      </c>
      <c r="C94" s="57"/>
      <c r="D94" s="57"/>
      <c r="E94" s="57"/>
      <c r="F94" s="57"/>
      <c r="G94" s="57"/>
      <c r="H94" s="57"/>
      <c r="I94" s="57"/>
      <c r="J94" s="57"/>
      <c r="K94" s="57"/>
      <c r="L94" s="57"/>
      <c r="M94" s="57"/>
      <c r="N94" s="57"/>
      <c r="O94" s="57"/>
      <c r="P94" s="57"/>
      <c r="Q94" s="57"/>
      <c r="R94" s="57"/>
      <c r="S94" s="57"/>
      <c r="T94" s="57"/>
      <c r="U94" s="57"/>
      <c r="V94" s="57"/>
      <c r="W94" s="57"/>
      <c r="X94" s="55">
        <f t="shared" ref="X94:Y94" si="93">S94+V94</f>
        <v>0</v>
      </c>
      <c r="Y94" s="55">
        <f t="shared" si="93"/>
        <v>0</v>
      </c>
      <c r="Z94" s="55">
        <f t="shared" si="26"/>
        <v>0</v>
      </c>
      <c r="AA94" s="55">
        <f t="shared" si="27"/>
        <v>0</v>
      </c>
      <c r="AB94" s="57"/>
      <c r="AC94" s="57"/>
      <c r="AD94" s="57"/>
      <c r="AE94" s="57"/>
      <c r="AF94" s="57"/>
      <c r="AG94" s="57"/>
      <c r="AH94" s="57"/>
    </row>
    <row r="95">
      <c r="A95" s="55">
        <v>31.0</v>
      </c>
      <c r="B95" s="58">
        <v>5.0</v>
      </c>
      <c r="C95" s="57"/>
      <c r="D95" s="57"/>
      <c r="E95" s="57"/>
      <c r="F95" s="57"/>
      <c r="G95" s="57"/>
      <c r="H95" s="57"/>
      <c r="I95" s="57"/>
      <c r="J95" s="57"/>
      <c r="K95" s="57"/>
      <c r="L95" s="57"/>
      <c r="M95" s="57"/>
      <c r="N95" s="57"/>
      <c r="O95" s="57"/>
      <c r="P95" s="57"/>
      <c r="Q95" s="57"/>
      <c r="R95" s="57"/>
      <c r="S95" s="57"/>
      <c r="T95" s="57"/>
      <c r="U95" s="57"/>
      <c r="V95" s="57"/>
      <c r="W95" s="57"/>
      <c r="X95" s="55">
        <f t="shared" ref="X95:Y95" si="94">S95+V95</f>
        <v>0</v>
      </c>
      <c r="Y95" s="55">
        <f t="shared" si="94"/>
        <v>0</v>
      </c>
      <c r="Z95" s="55">
        <f t="shared" si="26"/>
        <v>0</v>
      </c>
      <c r="AA95" s="55">
        <f t="shared" si="27"/>
        <v>0</v>
      </c>
      <c r="AB95" s="57"/>
      <c r="AC95" s="57"/>
      <c r="AD95" s="57"/>
      <c r="AE95" s="57"/>
      <c r="AF95" s="57"/>
      <c r="AG95" s="57"/>
      <c r="AH95" s="57"/>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c r="AA1001" s="59"/>
      <c r="AB1001" s="59"/>
      <c r="AC1001" s="59"/>
      <c r="AD1001" s="59"/>
      <c r="AE1001" s="59"/>
      <c r="AF1001" s="59"/>
      <c r="AG1001" s="59"/>
      <c r="AH1001" s="59"/>
    </row>
  </sheetData>
  <mergeCells count="41">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D2:AD3"/>
    <mergeCell ref="AE2:AE3"/>
    <mergeCell ref="AF2:AF3"/>
    <mergeCell ref="AG2:AG3"/>
    <mergeCell ref="Z1:AA1"/>
    <mergeCell ref="AB1:AC1"/>
    <mergeCell ref="AD1:AE1"/>
    <mergeCell ref="AF1:AG1"/>
    <mergeCell ref="AH1:AH3"/>
    <mergeCell ref="Z2:Z3"/>
    <mergeCell ref="AA2:AA3"/>
    <mergeCell ref="C2:C3"/>
    <mergeCell ref="D2:D3"/>
    <mergeCell ref="E2:E3"/>
    <mergeCell ref="F2:F3"/>
    <mergeCell ref="G2:H2"/>
    <mergeCell ref="I2:J2"/>
    <mergeCell ref="K2:K3"/>
    <mergeCell ref="L2:L3"/>
    <mergeCell ref="M2:M3"/>
    <mergeCell ref="N2:N3"/>
    <mergeCell ref="O2:O3"/>
    <mergeCell ref="P2:P3"/>
    <mergeCell ref="AB2:AB3"/>
    <mergeCell ref="AC2:AC3"/>
  </mergeCells>
  <conditionalFormatting sqref="C1:F2 G1:H1 K1:AH2 G3:H6">
    <cfRule type="cellIs" dxfId="0" priority="1" operator="greaterThan">
      <formula>0</formula>
    </cfRule>
  </conditionalFormatting>
  <conditionalFormatting sqref="I2:J2">
    <cfRule type="cellIs" dxfId="0" priority="2" operator="greaterThan">
      <formula>0</formula>
    </cfRule>
  </conditionalFormatting>
  <conditionalFormatting sqref="C1:AH1001">
    <cfRule type="cellIs" dxfId="0" priority="3"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1" max="21" width="14.25"/>
  </cols>
  <sheetData>
    <row r="1">
      <c r="A1" s="1" t="s">
        <v>0</v>
      </c>
      <c r="B1" s="1" t="s">
        <v>1</v>
      </c>
      <c r="C1" s="2" t="s">
        <v>2</v>
      </c>
      <c r="D1" s="3"/>
      <c r="E1" s="3"/>
      <c r="F1" s="4"/>
      <c r="G1" s="5" t="s">
        <v>3</v>
      </c>
      <c r="H1" s="3"/>
      <c r="I1" s="3"/>
      <c r="J1" s="3"/>
      <c r="K1" s="3"/>
      <c r="L1" s="3"/>
      <c r="M1" s="3"/>
      <c r="N1" s="3"/>
      <c r="O1" s="3"/>
      <c r="P1" s="4"/>
      <c r="Q1" s="6" t="s">
        <v>4</v>
      </c>
      <c r="R1" s="3"/>
      <c r="S1" s="3"/>
      <c r="T1" s="3"/>
      <c r="U1" s="4"/>
      <c r="V1" s="6" t="s">
        <v>5</v>
      </c>
      <c r="W1" s="3"/>
      <c r="X1" s="50" t="s">
        <v>36</v>
      </c>
      <c r="Y1" s="4"/>
      <c r="Z1" s="8" t="s">
        <v>6</v>
      </c>
      <c r="AA1" s="4"/>
      <c r="AB1" s="8" t="s">
        <v>7</v>
      </c>
      <c r="AC1" s="4"/>
      <c r="AD1" s="8" t="s">
        <v>8</v>
      </c>
      <c r="AE1" s="4"/>
      <c r="AF1" s="8" t="s">
        <v>9</v>
      </c>
      <c r="AG1" s="4"/>
    </row>
    <row r="2" ht="52.5" customHeight="1">
      <c r="A2" s="52"/>
      <c r="B2" s="52"/>
      <c r="C2" s="14" t="s">
        <v>41</v>
      </c>
      <c r="D2" s="14" t="s">
        <v>42</v>
      </c>
      <c r="E2" s="14" t="s">
        <v>43</v>
      </c>
      <c r="F2" s="1" t="s">
        <v>13</v>
      </c>
      <c r="G2" s="53" t="s">
        <v>44</v>
      </c>
      <c r="I2" s="54" t="s">
        <v>16</v>
      </c>
      <c r="J2" s="4"/>
      <c r="K2" s="1" t="s">
        <v>17</v>
      </c>
      <c r="L2" s="1" t="s">
        <v>18</v>
      </c>
      <c r="M2" s="1" t="s">
        <v>19</v>
      </c>
      <c r="N2" s="1" t="s">
        <v>20</v>
      </c>
      <c r="O2" s="1" t="s">
        <v>21</v>
      </c>
      <c r="P2" s="1" t="s">
        <v>22</v>
      </c>
      <c r="Q2" s="14" t="s">
        <v>45</v>
      </c>
      <c r="R2" s="14" t="s">
        <v>46</v>
      </c>
      <c r="S2" s="1" t="s">
        <v>24</v>
      </c>
      <c r="T2" s="1" t="s">
        <v>25</v>
      </c>
      <c r="U2" s="1" t="s">
        <v>26</v>
      </c>
      <c r="V2" s="1" t="s">
        <v>28</v>
      </c>
      <c r="W2" s="1" t="s">
        <v>25</v>
      </c>
      <c r="X2" s="1" t="s">
        <v>37</v>
      </c>
      <c r="Y2" s="1" t="s">
        <v>25</v>
      </c>
      <c r="Z2" s="1" t="s">
        <v>30</v>
      </c>
      <c r="AA2" s="1" t="s">
        <v>31</v>
      </c>
      <c r="AB2" s="1" t="s">
        <v>30</v>
      </c>
      <c r="AC2" s="1" t="s">
        <v>31</v>
      </c>
      <c r="AD2" s="1" t="s">
        <v>30</v>
      </c>
      <c r="AE2" s="1" t="s">
        <v>31</v>
      </c>
      <c r="AF2" s="1" t="s">
        <v>30</v>
      </c>
      <c r="AG2" s="1" t="s">
        <v>31</v>
      </c>
    </row>
    <row r="3">
      <c r="A3" s="9"/>
      <c r="B3" s="9"/>
      <c r="C3" s="9"/>
      <c r="D3" s="9"/>
      <c r="E3" s="9"/>
      <c r="F3" s="9"/>
      <c r="G3" s="12" t="s">
        <v>14</v>
      </c>
      <c r="H3" s="12" t="s">
        <v>15</v>
      </c>
      <c r="I3" s="12" t="s">
        <v>14</v>
      </c>
      <c r="J3" s="12" t="s">
        <v>15</v>
      </c>
      <c r="K3" s="9"/>
      <c r="L3" s="9"/>
      <c r="M3" s="9"/>
      <c r="N3" s="9"/>
      <c r="O3" s="9"/>
      <c r="P3" s="9"/>
      <c r="Q3" s="9"/>
      <c r="R3" s="9"/>
      <c r="S3" s="9"/>
      <c r="T3" s="9"/>
      <c r="U3" s="9"/>
      <c r="V3" s="9"/>
      <c r="W3" s="9"/>
      <c r="X3" s="9"/>
      <c r="Y3" s="9"/>
      <c r="Z3" s="9"/>
      <c r="AA3" s="9"/>
      <c r="AB3" s="9"/>
      <c r="AC3" s="9"/>
      <c r="AD3" s="9"/>
      <c r="AE3" s="9"/>
      <c r="AF3" s="9"/>
      <c r="AG3" s="9"/>
    </row>
    <row r="4">
      <c r="A4" s="60" t="s">
        <v>62</v>
      </c>
      <c r="B4" s="55" t="s">
        <v>63</v>
      </c>
      <c r="C4" s="57">
        <f>SUM('BC NGÀY 1'!C106:C108)+SUM('BC NGÀY'!C4:C7)</f>
        <v>0</v>
      </c>
      <c r="D4" s="57">
        <f>SUM('BC NGÀY 1'!D106:D108)+SUM('BC NGÀY'!D4:D7)</f>
        <v>2</v>
      </c>
      <c r="E4" s="57">
        <f>SUM('BC NGÀY 1'!E106:E108)+SUM('BC NGÀY'!E4:E7)</f>
        <v>0</v>
      </c>
      <c r="F4" s="57">
        <f>SUM('BC NGÀY 1'!F106:F108)+SUM('BC NGÀY'!F4:F7)</f>
        <v>2</v>
      </c>
      <c r="G4" s="57">
        <f>SUM('BC NGÀY 1'!G106:G108)+SUM('BC NGÀY'!G4:G7)</f>
        <v>19</v>
      </c>
      <c r="H4" s="57">
        <f>SUM('BC NGÀY 1'!H106:H108)+SUM('BC NGÀY'!H4:H7)</f>
        <v>4</v>
      </c>
      <c r="I4" s="57">
        <f>SUM('BC NGÀY 1'!I106:I108)+SUM('BC NGÀY'!I4:I7)</f>
        <v>0</v>
      </c>
      <c r="J4" s="57">
        <f>SUM('BC NGÀY 1'!J106:J108)+SUM('BC NGÀY'!J4:J7)</f>
        <v>0</v>
      </c>
      <c r="K4" s="57">
        <f>SUM('BC NGÀY 1'!K106:K108)+SUM('BC NGÀY'!K4:K7)</f>
        <v>147</v>
      </c>
      <c r="L4" s="57">
        <f>SUM('BC NGÀY 1'!L106:L108)+SUM('BC NGÀY'!L4:L7)</f>
        <v>0</v>
      </c>
      <c r="M4" s="57">
        <f>SUM('BC NGÀY 1'!M106:M108)+SUM('BC NGÀY'!M4:M7)</f>
        <v>0</v>
      </c>
      <c r="N4" s="57">
        <f>SUM('BC NGÀY 1'!N106:N108)+SUM('BC NGÀY'!N4:N7)</f>
        <v>0</v>
      </c>
      <c r="O4" s="57">
        <f>SUM('BC NGÀY 1'!O106:O108)+SUM('BC NGÀY'!O4:O7)</f>
        <v>0</v>
      </c>
      <c r="P4" s="57">
        <f>SUM('BC NGÀY 1'!P106:P108)+SUM('BC NGÀY'!P4:P7)</f>
        <v>0</v>
      </c>
      <c r="Q4" s="57">
        <f>SUM('BC NGÀY 1'!Q106:Q108)+SUM('BC NGÀY'!Q4:Q7)</f>
        <v>0</v>
      </c>
      <c r="R4" s="57">
        <f>SUM('BC NGÀY 1'!R106:R108)+SUM('BC NGÀY'!R4:R7)</f>
        <v>0</v>
      </c>
      <c r="S4" s="57">
        <f>SUM('BC NGÀY 1'!S106:S108)+SUM('BC NGÀY'!S4:S7)</f>
        <v>1</v>
      </c>
      <c r="T4" s="57">
        <f>SUM('BC NGÀY 1'!T106:T108)+SUM('BC NGÀY'!T4:T7)</f>
        <v>675</v>
      </c>
      <c r="U4" s="57">
        <f>SUM('BC NGÀY 1'!U106:U108)+SUM('BC NGÀY'!U4:U7)</f>
        <v>675</v>
      </c>
      <c r="V4" s="57">
        <f>SUM('BC NGÀY 1'!V106:V108)+SUM('BC NGÀY'!V4:V7)</f>
        <v>0</v>
      </c>
      <c r="W4" s="57">
        <f>SUM('BC NGÀY 1'!W106:W108)+SUM('BC NGÀY'!W4:W7)</f>
        <v>0</v>
      </c>
      <c r="X4" s="57">
        <f>SUM('BC NGÀY 1'!X106:X108)+SUM('BC NGÀY'!X4:X7)</f>
        <v>1</v>
      </c>
      <c r="Y4" s="57">
        <f>SUM('BC NGÀY 1'!Y106:Y108)+SUM('BC NGÀY'!Y4:Y7)</f>
        <v>675</v>
      </c>
      <c r="Z4" s="57">
        <f>SUM('BC NGÀY 1'!Z106:Z108)+SUM('BC NGÀY'!Z4:Z7)</f>
        <v>23</v>
      </c>
      <c r="AA4" s="57">
        <f>SUM('BC NGÀY 1'!AA106:AA108)+SUM('BC NGÀY'!AA4:AA7)</f>
        <v>23</v>
      </c>
      <c r="AB4" s="57">
        <f>SUM('BC NGÀY 1'!AB106:AB108)+SUM('BC NGÀY'!AB4:AB7)</f>
        <v>0</v>
      </c>
      <c r="AC4" s="57">
        <f>SUM('BC NGÀY 1'!AC106:AC108)+SUM('BC NGÀY'!AC4:AC7)</f>
        <v>0</v>
      </c>
      <c r="AD4" s="57">
        <f>SUM('BC NGÀY 1'!AD106:AD108)+SUM('BC NGÀY'!AD4:AD7)</f>
        <v>0</v>
      </c>
      <c r="AE4" s="57">
        <f>SUM('BC NGÀY 1'!AE106:AE108)+SUM('BC NGÀY'!AE4:AE7)</f>
        <v>0</v>
      </c>
      <c r="AF4" s="57">
        <f>SUM('BC NGÀY 1'!AF106:AF108)+SUM('BC NGÀY'!AF4:AF7)</f>
        <v>0</v>
      </c>
      <c r="AG4" s="57">
        <f>SUM('BC NGÀY 1'!AG106:AG108)+SUM('BC NGÀY'!AG4:AG7)</f>
        <v>0</v>
      </c>
    </row>
    <row r="5">
      <c r="A5" s="61" t="s">
        <v>64</v>
      </c>
      <c r="B5" s="55">
        <v>3.0</v>
      </c>
      <c r="C5" s="57">
        <f>sum('BC NGÀY'!C8:C14)</f>
        <v>0</v>
      </c>
      <c r="D5" s="57">
        <f>sum('BC NGÀY'!D8:D14)</f>
        <v>0</v>
      </c>
      <c r="E5" s="57">
        <f>sum('BC NGÀY'!E8:E14)</f>
        <v>0</v>
      </c>
      <c r="F5" s="57">
        <f>sum('BC NGÀY'!F8:F14)</f>
        <v>0</v>
      </c>
      <c r="G5" s="57">
        <f>sum('BC NGÀY'!G8:G14)</f>
        <v>104</v>
      </c>
      <c r="H5" s="57">
        <f>sum('BC NGÀY'!H8:H14)</f>
        <v>68</v>
      </c>
      <c r="I5" s="57">
        <f>sum('BC NGÀY'!I8:I14)</f>
        <v>0</v>
      </c>
      <c r="J5" s="57">
        <f>sum('BC NGÀY'!J8:J14)</f>
        <v>0</v>
      </c>
      <c r="K5" s="57">
        <f>sum('BC NGÀY'!K8:K14)</f>
        <v>1341</v>
      </c>
      <c r="L5" s="57">
        <f>sum('BC NGÀY'!L8:L14)</f>
        <v>0</v>
      </c>
      <c r="M5" s="57">
        <f>sum('BC NGÀY'!M8:M14)</f>
        <v>0</v>
      </c>
      <c r="N5" s="57">
        <f>sum('BC NGÀY'!N8:N14)</f>
        <v>0</v>
      </c>
      <c r="O5" s="57">
        <f>sum('BC NGÀY'!O8:O14)</f>
        <v>0</v>
      </c>
      <c r="P5" s="57">
        <f>sum('BC NGÀY'!P8:P14)</f>
        <v>0</v>
      </c>
      <c r="Q5" s="57">
        <f>sum('BC NGÀY'!Q8:Q14)</f>
        <v>0</v>
      </c>
      <c r="R5" s="57">
        <f>sum('BC NGÀY'!R8:R14)</f>
        <v>0</v>
      </c>
      <c r="S5" s="57">
        <f>sum('BC NGÀY'!S8:S14)</f>
        <v>0</v>
      </c>
      <c r="T5" s="57">
        <f>sum('BC NGÀY'!T8:T14)</f>
        <v>0</v>
      </c>
      <c r="U5" s="57">
        <f>sum('BC NGÀY'!U8:U14)</f>
        <v>0</v>
      </c>
      <c r="V5" s="57">
        <f>sum('BC NGÀY'!V8:V14)</f>
        <v>4</v>
      </c>
      <c r="W5" s="57">
        <f>sum('BC NGÀY'!W8:W14)</f>
        <v>170</v>
      </c>
      <c r="X5" s="57">
        <f>sum('BC NGÀY'!X8:X14)</f>
        <v>4</v>
      </c>
      <c r="Y5" s="57">
        <f>sum('BC NGÀY'!Y8:Y14)</f>
        <v>170</v>
      </c>
      <c r="Z5" s="57">
        <f>sum('BC NGÀY'!Z8:Z14)</f>
        <v>172</v>
      </c>
      <c r="AA5" s="57">
        <f>sum('BC NGÀY'!AA8:AA14)</f>
        <v>172</v>
      </c>
      <c r="AB5" s="57">
        <f>sum('BC NGÀY'!AB8:AB14)</f>
        <v>3</v>
      </c>
      <c r="AC5" s="57">
        <f>sum('BC NGÀY'!AC8:AC14)</f>
        <v>3</v>
      </c>
      <c r="AD5" s="57">
        <f>sum('BC NGÀY'!AD8:AD14)</f>
        <v>0</v>
      </c>
      <c r="AE5" s="57">
        <f>sum('BC NGÀY'!AE8:AE14)</f>
        <v>0</v>
      </c>
      <c r="AF5" s="57">
        <f>sum('BC NGÀY'!AF8:AF14)</f>
        <v>0</v>
      </c>
      <c r="AG5" s="57">
        <f>sum('BC NGÀY'!AG8:AG14)</f>
        <v>0</v>
      </c>
    </row>
    <row r="6">
      <c r="A6" s="61" t="s">
        <v>65</v>
      </c>
      <c r="B6" s="55">
        <v>3.0</v>
      </c>
      <c r="C6" s="57">
        <f>sum('BC NGÀY'!C15:C21)</f>
        <v>0</v>
      </c>
      <c r="D6" s="57">
        <f>sum('BC NGÀY'!D15:D21)</f>
        <v>2</v>
      </c>
      <c r="E6" s="57">
        <f>sum('BC NGÀY'!E15:E21)</f>
        <v>0</v>
      </c>
      <c r="F6" s="57">
        <f>sum('BC NGÀY'!F15:F21)</f>
        <v>0</v>
      </c>
      <c r="G6" s="57">
        <f>sum('BC NGÀY'!G15:G21)</f>
        <v>110</v>
      </c>
      <c r="H6" s="57">
        <f>sum('BC NGÀY'!H15:H21)</f>
        <v>83</v>
      </c>
      <c r="I6" s="57">
        <f>sum('BC NGÀY'!I15:I21)</f>
        <v>2</v>
      </c>
      <c r="J6" s="57">
        <f>sum('BC NGÀY'!J15:J21)</f>
        <v>0</v>
      </c>
      <c r="K6" s="57">
        <f>sum('BC NGÀY'!K15:K21)</f>
        <v>1539</v>
      </c>
      <c r="L6" s="57">
        <f>sum('BC NGÀY'!L15:L21)</f>
        <v>2</v>
      </c>
      <c r="M6" s="57">
        <f>sum('BC NGÀY'!M15:M21)</f>
        <v>2</v>
      </c>
      <c r="N6" s="57">
        <f>sum('BC NGÀY'!N15:N21)</f>
        <v>100</v>
      </c>
      <c r="O6" s="57">
        <f>sum('BC NGÀY'!O15:O21)</f>
        <v>0</v>
      </c>
      <c r="P6" s="57">
        <f>sum('BC NGÀY'!P15:P21)</f>
        <v>0</v>
      </c>
      <c r="Q6" s="57">
        <f>sum('BC NGÀY'!Q15:Q21)</f>
        <v>1</v>
      </c>
      <c r="R6" s="57">
        <f>sum('BC NGÀY'!R15:R21)</f>
        <v>0</v>
      </c>
      <c r="S6" s="57">
        <f>sum('BC NGÀY'!S15:S21)</f>
        <v>1</v>
      </c>
      <c r="T6" s="57">
        <f>sum('BC NGÀY'!T15:T21)</f>
        <v>100</v>
      </c>
      <c r="U6" s="57">
        <f>sum('BC NGÀY'!U15:U21)</f>
        <v>100</v>
      </c>
      <c r="V6" s="57">
        <f>sum('BC NGÀY'!V15:V21)</f>
        <v>0</v>
      </c>
      <c r="W6" s="57">
        <f>sum('BC NGÀY'!W15:W21)</f>
        <v>0</v>
      </c>
      <c r="X6" s="57">
        <f>sum('BC NGÀY'!X15:X21)</f>
        <v>1</v>
      </c>
      <c r="Y6" s="57">
        <f>sum('BC NGÀY'!Y15:Y21)</f>
        <v>100</v>
      </c>
      <c r="Z6" s="57">
        <f>sum('BC NGÀY'!Z15:Z21)</f>
        <v>193</v>
      </c>
      <c r="AA6" s="57">
        <f>sum('BC NGÀY'!AA15:AA21)</f>
        <v>193</v>
      </c>
      <c r="AB6" s="57">
        <f>sum('BC NGÀY'!AB15:AB21)</f>
        <v>0</v>
      </c>
      <c r="AC6" s="57">
        <f>sum('BC NGÀY'!AC15:AC21)</f>
        <v>0</v>
      </c>
      <c r="AD6" s="57">
        <f>sum('BC NGÀY'!AD15:AD21)</f>
        <v>0</v>
      </c>
      <c r="AE6" s="57">
        <f>sum('BC NGÀY'!AE15:AE21)</f>
        <v>0</v>
      </c>
      <c r="AF6" s="57">
        <f>sum('BC NGÀY'!AF15:AF21)</f>
        <v>0</v>
      </c>
      <c r="AG6" s="57">
        <f>sum('BC NGÀY'!AG15:AG21)</f>
        <v>0</v>
      </c>
    </row>
    <row r="7">
      <c r="A7" s="55" t="s">
        <v>66</v>
      </c>
      <c r="B7" s="55">
        <v>3.0</v>
      </c>
      <c r="C7" s="57">
        <f>sum('BC NGÀY'!C22:C28)</f>
        <v>1</v>
      </c>
      <c r="D7" s="57">
        <f>sum('BC NGÀY'!D22:D28)</f>
        <v>4</v>
      </c>
      <c r="E7" s="57">
        <f>sum('BC NGÀY'!E22:E28)</f>
        <v>0</v>
      </c>
      <c r="F7" s="57">
        <f>sum('BC NGÀY'!F22:F28)</f>
        <v>1</v>
      </c>
      <c r="G7" s="57">
        <f>sum('BC NGÀY'!G22:G28)</f>
        <v>13</v>
      </c>
      <c r="H7" s="57">
        <f>sum('BC NGÀY'!H22:H28)</f>
        <v>12</v>
      </c>
      <c r="I7" s="57">
        <f>sum('BC NGÀY'!I22:I28)</f>
        <v>0</v>
      </c>
      <c r="J7" s="57">
        <f>sum('BC NGÀY'!J22:J28)</f>
        <v>0</v>
      </c>
      <c r="K7" s="57">
        <f>sum('BC NGÀY'!K22:K28)</f>
        <v>155</v>
      </c>
      <c r="L7" s="57">
        <f>sum('BC NGÀY'!L22:L28)</f>
        <v>0</v>
      </c>
      <c r="M7" s="57">
        <f>sum('BC NGÀY'!M22:M28)</f>
        <v>0</v>
      </c>
      <c r="N7" s="57">
        <f>sum('BC NGÀY'!N22:N28)</f>
        <v>0</v>
      </c>
      <c r="O7" s="57">
        <f>sum('BC NGÀY'!O22:O28)</f>
        <v>0</v>
      </c>
      <c r="P7" s="57">
        <f>sum('BC NGÀY'!P22:P28)</f>
        <v>0</v>
      </c>
      <c r="Q7" s="57">
        <f>sum('BC NGÀY'!Q22:Q28)</f>
        <v>1</v>
      </c>
      <c r="R7" s="57">
        <f>sum('BC NGÀY'!R22:R28)</f>
        <v>0</v>
      </c>
      <c r="S7" s="57">
        <f>sum('BC NGÀY'!S22:S28)</f>
        <v>3</v>
      </c>
      <c r="T7" s="57">
        <f>sum('BC NGÀY'!T22:T28)</f>
        <v>689</v>
      </c>
      <c r="U7" s="57">
        <f>sum('BC NGÀY'!U22:U28)</f>
        <v>689</v>
      </c>
      <c r="V7" s="57">
        <f>sum('BC NGÀY'!V22:V28)</f>
        <v>14</v>
      </c>
      <c r="W7" s="57">
        <f>sum('BC NGÀY'!W22:W28)</f>
        <v>596</v>
      </c>
      <c r="X7" s="57">
        <f>sum('BC NGÀY'!X22:X28)</f>
        <v>17</v>
      </c>
      <c r="Y7" s="57">
        <f>sum('BC NGÀY'!Y22:Y28)</f>
        <v>1285</v>
      </c>
      <c r="Z7" s="57">
        <f>sum('BC NGÀY'!Z22:Z28)</f>
        <v>25</v>
      </c>
      <c r="AA7" s="57">
        <f>sum('BC NGÀY'!AA22:AA28)</f>
        <v>25</v>
      </c>
      <c r="AB7" s="57">
        <f>sum('BC NGÀY'!AB22:AB28)</f>
        <v>5</v>
      </c>
      <c r="AC7" s="57">
        <f>sum('BC NGÀY'!AC22:AC28)</f>
        <v>5</v>
      </c>
      <c r="AD7" s="57">
        <f>sum('BC NGÀY'!AD22:AD28)</f>
        <v>0</v>
      </c>
      <c r="AE7" s="57">
        <f>sum('BC NGÀY'!AE22:AE28)</f>
        <v>0</v>
      </c>
      <c r="AF7" s="57">
        <f>sum('BC NGÀY'!AF22:AF28)</f>
        <v>0</v>
      </c>
      <c r="AG7" s="57">
        <f>sum('BC NGÀY'!AG22:AG28)</f>
        <v>0</v>
      </c>
    </row>
    <row r="8">
      <c r="A8" s="55" t="s">
        <v>67</v>
      </c>
      <c r="B8" s="55">
        <v>3.0</v>
      </c>
      <c r="C8" s="57">
        <f>sum('BC NGÀY'!C29:C35)</f>
        <v>0</v>
      </c>
      <c r="D8" s="57">
        <f>sum('BC NGÀY'!D29:D35)</f>
        <v>9</v>
      </c>
      <c r="E8" s="57">
        <f>sum('BC NGÀY'!E29:E35)</f>
        <v>1</v>
      </c>
      <c r="F8" s="57">
        <f>sum('BC NGÀY'!F29:F35)</f>
        <v>0</v>
      </c>
      <c r="G8" s="57">
        <f>sum('BC NGÀY'!G29:G35)</f>
        <v>14</v>
      </c>
      <c r="H8" s="57">
        <f>sum('BC NGÀY'!H29:H35)</f>
        <v>23</v>
      </c>
      <c r="I8" s="57">
        <f>sum('BC NGÀY'!I29:I35)</f>
        <v>0</v>
      </c>
      <c r="J8" s="57">
        <f>sum('BC NGÀY'!J29:J35)</f>
        <v>1</v>
      </c>
      <c r="K8" s="57">
        <f>sum('BC NGÀY'!K29:K35)</f>
        <v>221</v>
      </c>
      <c r="L8" s="57">
        <f>sum('BC NGÀY'!L29:L35)</f>
        <v>2</v>
      </c>
      <c r="M8" s="57">
        <f>sum('BC NGÀY'!M29:M35)</f>
        <v>2</v>
      </c>
      <c r="N8" s="57">
        <f>sum('BC NGÀY'!N29:N35)</f>
        <v>75</v>
      </c>
      <c r="O8" s="57">
        <f>sum('BC NGÀY'!O29:O35)</f>
        <v>0</v>
      </c>
      <c r="P8" s="57">
        <f>sum('BC NGÀY'!P29:P35)</f>
        <v>0</v>
      </c>
      <c r="Q8" s="57">
        <f>sum('BC NGÀY'!Q29:Q35)</f>
        <v>0</v>
      </c>
      <c r="R8" s="57">
        <f>sum('BC NGÀY'!R29:R35)</f>
        <v>0</v>
      </c>
      <c r="S8" s="57">
        <f>sum('BC NGÀY'!S29:S35)</f>
        <v>0</v>
      </c>
      <c r="T8" s="57">
        <f>sum('BC NGÀY'!T29:T35)</f>
        <v>0</v>
      </c>
      <c r="U8" s="57">
        <f>sum('BC NGÀY'!U29:U35)</f>
        <v>0</v>
      </c>
      <c r="V8" s="57">
        <f>sum('BC NGÀY'!V29:V35)</f>
        <v>5</v>
      </c>
      <c r="W8" s="57">
        <f>sum('BC NGÀY'!W29:W35)</f>
        <v>296</v>
      </c>
      <c r="X8" s="57">
        <f>sum('BC NGÀY'!X29:X35)</f>
        <v>5</v>
      </c>
      <c r="Y8" s="57">
        <f>sum('BC NGÀY'!Y29:Y35)</f>
        <v>296</v>
      </c>
      <c r="Z8" s="57">
        <f>sum('BC NGÀY'!Z29:Z35)</f>
        <v>37</v>
      </c>
      <c r="AA8" s="57">
        <f>sum('BC NGÀY'!AA29:AA35)</f>
        <v>37</v>
      </c>
      <c r="AB8" s="57">
        <f>sum('BC NGÀY'!AB29:AB35)</f>
        <v>4</v>
      </c>
      <c r="AC8" s="57">
        <f>sum('BC NGÀY'!AC29:AC35)</f>
        <v>4</v>
      </c>
      <c r="AD8" s="57">
        <f>sum('BC NGÀY'!AD29:AD35)</f>
        <v>0</v>
      </c>
      <c r="AE8" s="57">
        <f>sum('BC NGÀY'!AE29:AE34)</f>
        <v>0</v>
      </c>
      <c r="AF8" s="57">
        <f>sum('BC NGÀY'!AF29:AF34)</f>
        <v>0</v>
      </c>
      <c r="AG8" s="57">
        <f>sum('BC NGÀY'!AG29:AG34)</f>
        <v>0</v>
      </c>
    </row>
    <row r="9">
      <c r="A9" s="55" t="s">
        <v>68</v>
      </c>
      <c r="B9" s="55">
        <v>4.0</v>
      </c>
      <c r="C9" s="57">
        <f>sum('BC NGÀY'!C36:C42)</f>
        <v>0</v>
      </c>
      <c r="D9" s="57">
        <f>sum('BC NGÀY'!D36:D42)</f>
        <v>6</v>
      </c>
      <c r="E9" s="57">
        <f>sum('BC NGÀY'!E36:E42)</f>
        <v>0</v>
      </c>
      <c r="F9" s="57">
        <f>sum('BC NGÀY'!F36:F42)</f>
        <v>0</v>
      </c>
      <c r="G9" s="57">
        <f>sum('BC NGÀY'!G36:G42)</f>
        <v>34</v>
      </c>
      <c r="H9" s="57">
        <f>sum('BC NGÀY'!H36:H42)</f>
        <v>24</v>
      </c>
      <c r="I9" s="57">
        <f>sum('BC NGÀY'!I36:I42)</f>
        <v>0</v>
      </c>
      <c r="J9" s="57">
        <f>sum('BC NGÀY'!J36:J42)</f>
        <v>1</v>
      </c>
      <c r="K9" s="57">
        <f>sum('BC NGÀY'!K36:K42)</f>
        <v>417</v>
      </c>
      <c r="L9" s="57">
        <f>sum('BC NGÀY'!L36:L42)</f>
        <v>1</v>
      </c>
      <c r="M9" s="57">
        <f>sum('BC NGÀY'!M36:M42)</f>
        <v>1</v>
      </c>
      <c r="N9" s="57">
        <f>sum('BC NGÀY'!N36:N42)</f>
        <v>50</v>
      </c>
      <c r="O9" s="57">
        <f>sum('BC NGÀY'!O36:O42)</f>
        <v>0</v>
      </c>
      <c r="P9" s="57">
        <f>sum('BC NGÀY'!P36:P42)</f>
        <v>0</v>
      </c>
      <c r="Q9" s="57">
        <f>sum('BC NGÀY'!Q36:Q42)</f>
        <v>0</v>
      </c>
      <c r="R9" s="57">
        <f>sum('BC NGÀY'!R36:R42)</f>
        <v>0</v>
      </c>
      <c r="S9" s="57">
        <f>sum('BC NGÀY'!S36:S42)</f>
        <v>0</v>
      </c>
      <c r="T9" s="57">
        <f>sum('BC NGÀY'!T36:T42)</f>
        <v>0</v>
      </c>
      <c r="U9" s="57">
        <f>sum('BC NGÀY'!U36:U42)</f>
        <v>0</v>
      </c>
      <c r="V9" s="57">
        <f>sum('BC NGÀY'!V36:V42)</f>
        <v>3</v>
      </c>
      <c r="W9" s="57">
        <f>sum('BC NGÀY'!W36:W42)</f>
        <v>133</v>
      </c>
      <c r="X9" s="57">
        <f>sum('BC NGÀY'!X36:X42)</f>
        <v>3</v>
      </c>
      <c r="Y9" s="57">
        <f>sum('BC NGÀY'!Y36:Y42)</f>
        <v>133</v>
      </c>
      <c r="Z9" s="57">
        <f>sum('BC NGÀY'!Z36:Z42)</f>
        <v>58</v>
      </c>
      <c r="AA9" s="57">
        <f>sum('BC NGÀY'!AA36:AA42)</f>
        <v>58</v>
      </c>
      <c r="AB9" s="57">
        <f>sum('BC NGÀY'!AB36:AB42)</f>
        <v>2</v>
      </c>
      <c r="AC9" s="57">
        <f>sum('BC NGÀY'!AC36:AC42)</f>
        <v>2</v>
      </c>
      <c r="AD9" s="57">
        <f>sum('BC NGÀY'!AD36:AD42)</f>
        <v>0</v>
      </c>
      <c r="AE9" s="57">
        <f>sum('BC NGÀY'!AE36:AE42)</f>
        <v>0</v>
      </c>
      <c r="AF9" s="57">
        <f>sum('BC NGÀY'!AF36:AF42)</f>
        <v>0</v>
      </c>
      <c r="AG9" s="57">
        <f>sum('BC NGÀY'!AG36:AG42)</f>
        <v>0</v>
      </c>
    </row>
    <row r="10">
      <c r="A10" s="55" t="s">
        <v>69</v>
      </c>
      <c r="B10" s="55">
        <v>4.0</v>
      </c>
      <c r="C10" s="57">
        <f>sum('BC NGÀY'!C43:C49)</f>
        <v>0</v>
      </c>
      <c r="D10" s="57">
        <f>sum('BC NGÀY'!D43:D49)</f>
        <v>6</v>
      </c>
      <c r="E10" s="57">
        <f>sum('BC NGÀY'!E43:E49)</f>
        <v>1</v>
      </c>
      <c r="F10" s="57">
        <f>sum('BC NGÀY'!F43:F49)</f>
        <v>1</v>
      </c>
      <c r="G10" s="57">
        <f>sum('BC NGÀY'!G43:G49)</f>
        <v>43</v>
      </c>
      <c r="H10" s="57">
        <f>sum('BC NGÀY'!H43:H49)</f>
        <v>23</v>
      </c>
      <c r="I10" s="57">
        <f>sum('BC NGÀY'!I43:I49)</f>
        <v>0</v>
      </c>
      <c r="J10" s="57">
        <f>sum('BC NGÀY'!J43:J49)</f>
        <v>1</v>
      </c>
      <c r="K10" s="57">
        <f>sum('BC NGÀY'!K43:K49)</f>
        <v>483</v>
      </c>
      <c r="L10" s="57">
        <f>sum('BC NGÀY'!L43:L49)</f>
        <v>1</v>
      </c>
      <c r="M10" s="57">
        <f>sum('BC NGÀY'!M43:M49)</f>
        <v>1</v>
      </c>
      <c r="N10" s="57">
        <f>sum('BC NGÀY'!N43:N49)</f>
        <v>4</v>
      </c>
      <c r="O10" s="57">
        <f>sum('BC NGÀY'!O43:O49)</f>
        <v>0</v>
      </c>
      <c r="P10" s="57">
        <f>sum('BC NGÀY'!P43:P49)</f>
        <v>0</v>
      </c>
      <c r="Q10" s="57">
        <f>sum('BC NGÀY'!Q43:Q49)</f>
        <v>0</v>
      </c>
      <c r="R10" s="57">
        <f>sum('BC NGÀY'!R43:R49)</f>
        <v>0</v>
      </c>
      <c r="S10" s="57">
        <f>sum('BC NGÀY'!S43:S49)</f>
        <v>2</v>
      </c>
      <c r="T10" s="57">
        <f>sum('BC NGÀY'!T43:T49)</f>
        <v>400</v>
      </c>
      <c r="U10" s="57">
        <f>sum('BC NGÀY'!U43:U49)</f>
        <v>400</v>
      </c>
      <c r="V10" s="57">
        <f>sum('BC NGÀY'!V43:V49)</f>
        <v>4</v>
      </c>
      <c r="W10" s="57">
        <f>sum('BC NGÀY'!W43:W49)</f>
        <v>269</v>
      </c>
      <c r="X10" s="57">
        <f>sum('BC NGÀY'!X43:X49)</f>
        <v>6</v>
      </c>
      <c r="Y10" s="57">
        <f>sum('BC NGÀY'!Y43:Y49)</f>
        <v>669</v>
      </c>
      <c r="Z10" s="57">
        <f>sum('BC NGÀY'!Z43:Z49)</f>
        <v>66</v>
      </c>
      <c r="AA10" s="57">
        <f>sum('BC NGÀY'!AA43:AA49)</f>
        <v>66</v>
      </c>
      <c r="AB10" s="57">
        <f>sum('BC NGÀY'!AB43:AB49)</f>
        <v>4</v>
      </c>
      <c r="AC10" s="57">
        <f>sum('BC NGÀY'!AC43:AC49)</f>
        <v>4</v>
      </c>
      <c r="AD10" s="57">
        <f>sum('BC NGÀY'!AD43:AD49)</f>
        <v>0</v>
      </c>
      <c r="AE10" s="57">
        <f>sum('BC NGÀY'!AE43:AE49)</f>
        <v>0</v>
      </c>
      <c r="AF10" s="57">
        <f>sum('BC NGÀY'!AF43:AF49)</f>
        <v>0</v>
      </c>
      <c r="AG10" s="57">
        <f>sum('BC NGÀY'!AG43:AG49)</f>
        <v>0</v>
      </c>
    </row>
    <row r="11">
      <c r="A11" s="55" t="s">
        <v>70</v>
      </c>
      <c r="B11" s="55">
        <v>4.0</v>
      </c>
      <c r="C11" s="57">
        <f>sum('BC NGÀY'!C50:C56)</f>
        <v>0</v>
      </c>
      <c r="D11" s="57">
        <f>sum('BC NGÀY'!D50:D56)</f>
        <v>9</v>
      </c>
      <c r="E11" s="57">
        <f>sum('BC NGÀY'!E50:E56)</f>
        <v>0</v>
      </c>
      <c r="F11" s="57">
        <f>sum('BC NGÀY'!F50:F56)</f>
        <v>0</v>
      </c>
      <c r="G11" s="57">
        <f>sum('BC NGÀY'!G50:G56)</f>
        <v>20</v>
      </c>
      <c r="H11" s="57">
        <f>sum('BC NGÀY'!H50:H56)</f>
        <v>10</v>
      </c>
      <c r="I11" s="57">
        <f>sum('BC NGÀY'!I50:I56)</f>
        <v>5</v>
      </c>
      <c r="J11" s="57">
        <f>sum('BC NGÀY'!J50:J56)</f>
        <v>7</v>
      </c>
      <c r="K11" s="57">
        <f>sum('BC NGÀY'!K50:K56)</f>
        <v>284</v>
      </c>
      <c r="L11" s="57">
        <f>sum('BC NGÀY'!L50:L56)</f>
        <v>12</v>
      </c>
      <c r="M11" s="57">
        <f>sum('BC NGÀY'!M50:M56)</f>
        <v>10</v>
      </c>
      <c r="N11" s="57">
        <f>sum('BC NGÀY'!N50:N56)</f>
        <v>332.5</v>
      </c>
      <c r="O11" s="57">
        <f>sum('BC NGÀY'!O50:O56)</f>
        <v>0</v>
      </c>
      <c r="P11" s="57">
        <f>sum('BC NGÀY'!P50:P56)</f>
        <v>0</v>
      </c>
      <c r="Q11" s="57">
        <f>sum('BC NGÀY'!Q50:Q56)</f>
        <v>2</v>
      </c>
      <c r="R11" s="57">
        <f>sum('BC NGÀY'!R50:R56)</f>
        <v>0</v>
      </c>
      <c r="S11" s="57">
        <f>sum('BC NGÀY'!S50:S56)</f>
        <v>3</v>
      </c>
      <c r="T11" s="57">
        <f>sum('BC NGÀY'!T50:T56)</f>
        <v>1580</v>
      </c>
      <c r="U11" s="57">
        <f>sum('BC NGÀY'!U50:U56)</f>
        <v>1580</v>
      </c>
      <c r="V11" s="57">
        <f>sum('BC NGÀY'!V50:V56)</f>
        <v>2</v>
      </c>
      <c r="W11" s="57">
        <f>sum('BC NGÀY'!W50:W56)</f>
        <v>289</v>
      </c>
      <c r="X11" s="57">
        <f>sum('BC NGÀY'!X50:X56)</f>
        <v>5</v>
      </c>
      <c r="Y11" s="57">
        <f>sum('BC NGÀY'!Y50:Y56)</f>
        <v>1869</v>
      </c>
      <c r="Z11" s="57">
        <f>sum('BC NGÀY'!Z50:Z56)</f>
        <v>30</v>
      </c>
      <c r="AA11" s="57">
        <f>sum('BC NGÀY'!AA50:AA56)</f>
        <v>30</v>
      </c>
      <c r="AB11" s="57">
        <f>sum('BC NGÀY'!AB50:AB56)</f>
        <v>1</v>
      </c>
      <c r="AC11" s="57">
        <f>sum('BC NGÀY'!AC50:AC56)</f>
        <v>1</v>
      </c>
      <c r="AD11" s="57">
        <f>sum('BC NGÀY'!AD50:AD56)</f>
        <v>0</v>
      </c>
      <c r="AE11" s="57">
        <f>sum('BC NGÀY'!AE50:AE56)</f>
        <v>0</v>
      </c>
      <c r="AF11" s="57">
        <f>sum('BC NGÀY'!AF50:AF56)</f>
        <v>0</v>
      </c>
      <c r="AG11" s="57">
        <f>sum('BC NGÀY'!AG50:AG56)</f>
        <v>0</v>
      </c>
    </row>
    <row r="12">
      <c r="A12" s="55" t="s">
        <v>71</v>
      </c>
      <c r="B12" s="55">
        <v>4.0</v>
      </c>
      <c r="C12" s="57">
        <f>sum('BC NGÀY'!C57:C63)</f>
        <v>0</v>
      </c>
      <c r="D12" s="57">
        <f>sum('BC NGÀY'!D57:D63)</f>
        <v>5</v>
      </c>
      <c r="E12" s="57">
        <f>sum('BC NGÀY'!E57:E63)</f>
        <v>0</v>
      </c>
      <c r="F12" s="57">
        <f>sum('BC NGÀY'!F57:F63)</f>
        <v>0</v>
      </c>
      <c r="G12" s="57">
        <f>sum('BC NGÀY'!G57:G63)</f>
        <v>14</v>
      </c>
      <c r="H12" s="57">
        <f>sum('BC NGÀY'!H57:H63)</f>
        <v>24</v>
      </c>
      <c r="I12" s="57">
        <f>sum('BC NGÀY'!I57:I63)</f>
        <v>6</v>
      </c>
      <c r="J12" s="57">
        <f>sum('BC NGÀY'!J57:J63)</f>
        <v>6</v>
      </c>
      <c r="K12" s="57">
        <f>sum('BC NGÀY'!K57:K63)</f>
        <v>268</v>
      </c>
      <c r="L12" s="57">
        <f>sum('BC NGÀY'!L57:L63)</f>
        <v>9</v>
      </c>
      <c r="M12" s="57">
        <f>sum('BC NGÀY'!M57:M63)</f>
        <v>9</v>
      </c>
      <c r="N12" s="57">
        <f>sum('BC NGÀY'!N57:N63)</f>
        <v>330</v>
      </c>
      <c r="O12" s="57">
        <f>sum('BC NGÀY'!O57:O63)</f>
        <v>0</v>
      </c>
      <c r="P12" s="57">
        <f>sum('BC NGÀY'!P57:P63)</f>
        <v>0</v>
      </c>
      <c r="Q12" s="57">
        <f>sum('BC NGÀY'!Q57:Q63)</f>
        <v>0</v>
      </c>
      <c r="R12" s="57">
        <f>sum('BC NGÀY'!R57:R63)</f>
        <v>0</v>
      </c>
      <c r="S12" s="57">
        <f>sum('BC NGÀY'!S57:S63)</f>
        <v>1</v>
      </c>
      <c r="T12" s="57">
        <f>sum('BC NGÀY'!T57:T63)</f>
        <v>300</v>
      </c>
      <c r="U12" s="57">
        <f>sum('BC NGÀY'!U57:U63)</f>
        <v>300</v>
      </c>
      <c r="V12" s="57">
        <f>sum('BC NGÀY'!V57:V63)</f>
        <v>3</v>
      </c>
      <c r="W12" s="57">
        <f>sum('BC NGÀY'!W57:W63)</f>
        <v>209</v>
      </c>
      <c r="X12" s="57">
        <f>sum('BC NGÀY'!X57:X63)</f>
        <v>4</v>
      </c>
      <c r="Y12" s="57">
        <f>sum('BC NGÀY'!Y57:Y63)</f>
        <v>509</v>
      </c>
      <c r="Z12" s="57">
        <f>sum('BC NGÀY'!Z57:Z63)</f>
        <v>38</v>
      </c>
      <c r="AA12" s="57">
        <f>sum('BC NGÀY'!AA57:AA63)</f>
        <v>38</v>
      </c>
      <c r="AB12" s="57">
        <f>sum('BC NGÀY'!AB57:AB63)</f>
        <v>1</v>
      </c>
      <c r="AC12" s="57">
        <f>sum('BC NGÀY'!AC57:AC63)</f>
        <v>1</v>
      </c>
      <c r="AD12" s="57">
        <f>sum('BC NGÀY'!AD57:AD63)</f>
        <v>0</v>
      </c>
      <c r="AE12" s="57">
        <f>sum('BC NGÀY'!AE57:AE63)</f>
        <v>0</v>
      </c>
      <c r="AF12" s="57">
        <f>sum('BC NGÀY'!AF57:AF63)</f>
        <v>0</v>
      </c>
      <c r="AG12" s="57">
        <f>sum('BC NGÀY'!AG57:AG63)</f>
        <v>0</v>
      </c>
    </row>
    <row r="1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row>
    <row r="14">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row>
    <row r="1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row>
    <row r="16">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row>
    <row r="17">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row>
    <row r="18">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row>
    <row r="19">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row>
    <row r="20">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row>
  </sheetData>
  <mergeCells count="40">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E2:AE3"/>
    <mergeCell ref="AF2:AF3"/>
    <mergeCell ref="Z1:AA1"/>
    <mergeCell ref="AB1:AC1"/>
    <mergeCell ref="AD1:AE1"/>
    <mergeCell ref="AF1:AG1"/>
    <mergeCell ref="Z2:Z3"/>
    <mergeCell ref="AA2:AA3"/>
    <mergeCell ref="AB2:AB3"/>
    <mergeCell ref="AG2:AG3"/>
    <mergeCell ref="C2:C3"/>
    <mergeCell ref="D2:D3"/>
    <mergeCell ref="E2:E3"/>
    <mergeCell ref="F2:F3"/>
    <mergeCell ref="G2:H2"/>
    <mergeCell ref="I2:J2"/>
    <mergeCell ref="K2:K3"/>
    <mergeCell ref="L2:L3"/>
    <mergeCell ref="M2:M3"/>
    <mergeCell ref="N2:N3"/>
    <mergeCell ref="O2:O3"/>
    <mergeCell ref="P2:P3"/>
    <mergeCell ref="AC2:AC3"/>
    <mergeCell ref="AD2:AD3"/>
  </mergeCells>
  <conditionalFormatting sqref="C1:F2 G1:H1 K1:AG2 G3:H3">
    <cfRule type="cellIs" dxfId="0" priority="1" operator="greaterThan">
      <formula>0</formula>
    </cfRule>
  </conditionalFormatting>
  <conditionalFormatting sqref="I2:J2">
    <cfRule type="cellIs" dxfId="0" priority="2" operator="greaterThan">
      <formula>0</formula>
    </cfRule>
  </conditionalFormatting>
  <conditionalFormatting sqref="C1:AG3">
    <cfRule type="cellIs" dxfId="0" priority="3" operator="greaterThan">
      <formula>0</formula>
    </cfRule>
  </conditionalFormatting>
  <conditionalFormatting sqref="C1:AG1000">
    <cfRule type="cellIs" dxfId="0" priority="4" operator="greater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0" max="20" width="14.0"/>
  </cols>
  <sheetData>
    <row r="1">
      <c r="A1" s="1" t="s">
        <v>1</v>
      </c>
      <c r="B1" s="2" t="s">
        <v>2</v>
      </c>
      <c r="C1" s="3"/>
      <c r="D1" s="3"/>
      <c r="E1" s="4"/>
      <c r="F1" s="5" t="s">
        <v>3</v>
      </c>
      <c r="G1" s="3"/>
      <c r="H1" s="3"/>
      <c r="I1" s="3"/>
      <c r="J1" s="3"/>
      <c r="K1" s="3"/>
      <c r="L1" s="3"/>
      <c r="M1" s="3"/>
      <c r="N1" s="3"/>
      <c r="O1" s="4"/>
      <c r="P1" s="6" t="s">
        <v>4</v>
      </c>
      <c r="Q1" s="3"/>
      <c r="R1" s="3"/>
      <c r="S1" s="3"/>
      <c r="T1" s="4"/>
      <c r="U1" s="6" t="s">
        <v>5</v>
      </c>
      <c r="V1" s="3"/>
      <c r="W1" s="50" t="s">
        <v>36</v>
      </c>
      <c r="X1" s="4"/>
      <c r="Y1" s="8" t="s">
        <v>6</v>
      </c>
      <c r="Z1" s="4"/>
      <c r="AA1" s="8" t="s">
        <v>7</v>
      </c>
      <c r="AB1" s="4"/>
      <c r="AC1" s="8" t="s">
        <v>8</v>
      </c>
      <c r="AD1" s="4"/>
      <c r="AE1" s="8" t="s">
        <v>9</v>
      </c>
      <c r="AF1" s="4"/>
    </row>
    <row r="2" ht="52.5" customHeight="1">
      <c r="A2" s="52"/>
      <c r="B2" s="14" t="s">
        <v>41</v>
      </c>
      <c r="C2" s="14" t="s">
        <v>42</v>
      </c>
      <c r="D2" s="14" t="s">
        <v>43</v>
      </c>
      <c r="E2" s="1" t="s">
        <v>13</v>
      </c>
      <c r="F2" s="53" t="s">
        <v>44</v>
      </c>
      <c r="H2" s="54" t="s">
        <v>16</v>
      </c>
      <c r="I2" s="4"/>
      <c r="J2" s="1" t="s">
        <v>17</v>
      </c>
      <c r="K2" s="1" t="s">
        <v>18</v>
      </c>
      <c r="L2" s="1" t="s">
        <v>19</v>
      </c>
      <c r="M2" s="1" t="s">
        <v>20</v>
      </c>
      <c r="N2" s="1" t="s">
        <v>21</v>
      </c>
      <c r="O2" s="1" t="s">
        <v>22</v>
      </c>
      <c r="P2" s="14" t="s">
        <v>45</v>
      </c>
      <c r="Q2" s="14" t="s">
        <v>46</v>
      </c>
      <c r="R2" s="1" t="s">
        <v>24</v>
      </c>
      <c r="S2" s="1" t="s">
        <v>25</v>
      </c>
      <c r="T2" s="1" t="s">
        <v>26</v>
      </c>
      <c r="U2" s="1" t="s">
        <v>28</v>
      </c>
      <c r="V2" s="1" t="s">
        <v>25</v>
      </c>
      <c r="W2" s="1" t="s">
        <v>37</v>
      </c>
      <c r="X2" s="1" t="s">
        <v>25</v>
      </c>
      <c r="Y2" s="1" t="s">
        <v>30</v>
      </c>
      <c r="Z2" s="1" t="s">
        <v>31</v>
      </c>
      <c r="AA2" s="1" t="s">
        <v>30</v>
      </c>
      <c r="AB2" s="1" t="s">
        <v>31</v>
      </c>
      <c r="AC2" s="1" t="s">
        <v>30</v>
      </c>
      <c r="AD2" s="1" t="s">
        <v>31</v>
      </c>
      <c r="AE2" s="1" t="s">
        <v>30</v>
      </c>
      <c r="AF2" s="1" t="s">
        <v>31</v>
      </c>
    </row>
    <row r="3">
      <c r="A3" s="9"/>
      <c r="B3" s="9"/>
      <c r="C3" s="9"/>
      <c r="D3" s="9"/>
      <c r="E3" s="9"/>
      <c r="F3" s="12" t="s">
        <v>14</v>
      </c>
      <c r="G3" s="12" t="s">
        <v>15</v>
      </c>
      <c r="H3" s="12" t="s">
        <v>14</v>
      </c>
      <c r="I3" s="12" t="s">
        <v>15</v>
      </c>
      <c r="J3" s="9"/>
      <c r="K3" s="9"/>
      <c r="L3" s="9"/>
      <c r="M3" s="9"/>
      <c r="N3" s="9"/>
      <c r="O3" s="9"/>
      <c r="P3" s="9"/>
      <c r="Q3" s="9"/>
      <c r="R3" s="9"/>
      <c r="S3" s="9"/>
      <c r="T3" s="9"/>
      <c r="U3" s="9"/>
      <c r="V3" s="9"/>
      <c r="W3" s="9"/>
      <c r="X3" s="9"/>
      <c r="Y3" s="9"/>
      <c r="Z3" s="9"/>
      <c r="AA3" s="9"/>
      <c r="AB3" s="9"/>
      <c r="AC3" s="9"/>
      <c r="AD3" s="9"/>
      <c r="AE3" s="9"/>
      <c r="AF3" s="9"/>
    </row>
    <row r="4">
      <c r="A4" s="10" t="s">
        <v>72</v>
      </c>
      <c r="B4" s="55">
        <v>1.0</v>
      </c>
      <c r="C4" s="55">
        <v>11.0</v>
      </c>
      <c r="D4" s="55">
        <v>0.0</v>
      </c>
      <c r="E4" s="55">
        <v>0.0</v>
      </c>
      <c r="F4" s="55">
        <v>0.0</v>
      </c>
      <c r="G4" s="55">
        <v>2.0</v>
      </c>
      <c r="H4" s="55">
        <v>0.0</v>
      </c>
      <c r="I4" s="55">
        <v>0.0</v>
      </c>
      <c r="J4" s="55">
        <v>8.0</v>
      </c>
      <c r="K4" s="55">
        <v>0.0</v>
      </c>
      <c r="L4" s="55">
        <v>0.0</v>
      </c>
      <c r="M4" s="55">
        <v>0.0</v>
      </c>
      <c r="N4" s="55">
        <v>0.0</v>
      </c>
      <c r="O4" s="55">
        <v>0.0</v>
      </c>
      <c r="P4" s="55">
        <v>0.0</v>
      </c>
      <c r="Q4" s="55">
        <v>0.0</v>
      </c>
      <c r="R4" s="55">
        <v>1.0</v>
      </c>
      <c r="S4" s="55">
        <v>258.0</v>
      </c>
      <c r="T4" s="55">
        <v>258.0</v>
      </c>
      <c r="U4" s="55">
        <v>0.0</v>
      </c>
      <c r="V4" s="55">
        <v>0.0</v>
      </c>
      <c r="W4" s="57">
        <f t="shared" ref="W4:X4" si="1">R4+U4</f>
        <v>1</v>
      </c>
      <c r="X4" s="57">
        <f t="shared" si="1"/>
        <v>258</v>
      </c>
      <c r="Y4" s="55">
        <v>2.0</v>
      </c>
      <c r="Z4" s="55">
        <v>2.0</v>
      </c>
      <c r="AA4" s="55">
        <v>0.0</v>
      </c>
      <c r="AB4" s="55">
        <v>0.0</v>
      </c>
      <c r="AC4" s="55">
        <v>0.0</v>
      </c>
      <c r="AD4" s="55">
        <v>0.0</v>
      </c>
      <c r="AE4" s="55">
        <v>0.0</v>
      </c>
      <c r="AF4" s="55">
        <v>0.0</v>
      </c>
    </row>
    <row r="5">
      <c r="A5" s="10" t="s">
        <v>73</v>
      </c>
      <c r="B5" s="57">
        <f>sum('BC NGÀY'!C4:C16)</f>
        <v>0</v>
      </c>
      <c r="C5" s="57">
        <f>sum('BC NGÀY'!D4:D16)</f>
        <v>0</v>
      </c>
      <c r="D5" s="57">
        <f>sum('BC NGÀY'!E4:E16)</f>
        <v>0</v>
      </c>
      <c r="E5" s="57">
        <f>sum('BC NGÀY'!F4:F16)</f>
        <v>2</v>
      </c>
      <c r="F5" s="57">
        <f>sum('BC NGÀY'!G4:G16)</f>
        <v>167</v>
      </c>
      <c r="G5" s="57">
        <f>sum('BC NGÀY'!H4:H16)</f>
        <v>101</v>
      </c>
      <c r="H5" s="57">
        <f>sum('BC NGÀY'!I4:I16)</f>
        <v>0</v>
      </c>
      <c r="I5" s="57">
        <f>sum('BC NGÀY'!J4:J16)</f>
        <v>0</v>
      </c>
      <c r="J5" s="57">
        <f>sum('BC NGÀY'!K4:K16)</f>
        <v>2070</v>
      </c>
      <c r="K5" s="57">
        <f>sum('BC NGÀY'!L4:L16)</f>
        <v>0</v>
      </c>
      <c r="L5" s="57">
        <f>sum('BC NGÀY'!M4:M16)</f>
        <v>0</v>
      </c>
      <c r="M5" s="57">
        <f>sum('BC NGÀY'!N4:N16)</f>
        <v>0</v>
      </c>
      <c r="N5" s="57">
        <f>sum('BC NGÀY'!O4:O16)</f>
        <v>0</v>
      </c>
      <c r="O5" s="57">
        <f>sum('BC NGÀY'!P4:P16)</f>
        <v>0</v>
      </c>
      <c r="P5" s="57">
        <f>sum('BC NGÀY'!Q4:Q16)</f>
        <v>1</v>
      </c>
      <c r="Q5" s="57">
        <f>sum('BC NGÀY'!R4:R16)</f>
        <v>0</v>
      </c>
      <c r="R5" s="57">
        <f>sum('BC NGÀY'!S4:S16)</f>
        <v>2</v>
      </c>
      <c r="S5" s="57">
        <f>sum('BC NGÀY'!T4:T16)</f>
        <v>775</v>
      </c>
      <c r="T5" s="57">
        <f>sum('BC NGÀY'!U4:U16)</f>
        <v>775</v>
      </c>
      <c r="U5" s="57">
        <f>sum('BC NGÀY'!V4:V16)</f>
        <v>4</v>
      </c>
      <c r="V5" s="57">
        <f>sum('BC NGÀY'!W4:W16)</f>
        <v>170</v>
      </c>
      <c r="W5" s="57">
        <f>sum('BC NGÀY'!X4:X16)</f>
        <v>6</v>
      </c>
      <c r="X5" s="57">
        <f>sum('BC NGÀY'!Y4:Y16)</f>
        <v>945</v>
      </c>
      <c r="Y5" s="57">
        <f>sum('BC NGÀY'!Z4:Z16)</f>
        <v>268</v>
      </c>
      <c r="Z5" s="57">
        <f>sum('BC NGÀY'!AA4:AA16)</f>
        <v>268</v>
      </c>
      <c r="AA5" s="57">
        <f>sum('BC NGÀY'!AB4:AB16)</f>
        <v>3</v>
      </c>
      <c r="AB5" s="57">
        <f>sum('BC NGÀY'!AC4:AC16)</f>
        <v>3</v>
      </c>
      <c r="AC5" s="57">
        <f>sum('BC NGÀY'!AD4:AD16)</f>
        <v>0</v>
      </c>
      <c r="AD5" s="57">
        <f>sum('BC NGÀY'!AE4:AE16)</f>
        <v>0</v>
      </c>
      <c r="AE5" s="57">
        <f>sum('BC NGÀY'!AF4:AF16)</f>
        <v>0</v>
      </c>
      <c r="AF5" s="57">
        <f>sum('BC NGÀY'!AG4:AG16)</f>
        <v>0</v>
      </c>
    </row>
    <row r="6">
      <c r="A6" s="62" t="s">
        <v>74</v>
      </c>
      <c r="B6" s="57">
        <f t="shared" ref="B6:O6" si="2">SUM(B4:B5)</f>
        <v>1</v>
      </c>
      <c r="C6" s="57">
        <f t="shared" si="2"/>
        <v>11</v>
      </c>
      <c r="D6" s="57">
        <f t="shared" si="2"/>
        <v>0</v>
      </c>
      <c r="E6" s="57">
        <f t="shared" si="2"/>
        <v>2</v>
      </c>
      <c r="F6" s="57">
        <f t="shared" si="2"/>
        <v>167</v>
      </c>
      <c r="G6" s="57">
        <f t="shared" si="2"/>
        <v>103</v>
      </c>
      <c r="H6" s="57">
        <f t="shared" si="2"/>
        <v>0</v>
      </c>
      <c r="I6" s="57">
        <f t="shared" si="2"/>
        <v>0</v>
      </c>
      <c r="J6" s="57">
        <f t="shared" si="2"/>
        <v>2078</v>
      </c>
      <c r="K6" s="57">
        <f t="shared" si="2"/>
        <v>0</v>
      </c>
      <c r="L6" s="57">
        <f t="shared" si="2"/>
        <v>0</v>
      </c>
      <c r="M6" s="57">
        <f t="shared" si="2"/>
        <v>0</v>
      </c>
      <c r="N6" s="57">
        <f t="shared" si="2"/>
        <v>0</v>
      </c>
      <c r="O6" s="57">
        <f t="shared" si="2"/>
        <v>0</v>
      </c>
      <c r="P6" s="55">
        <v>10.0</v>
      </c>
      <c r="Q6" s="57">
        <f t="shared" ref="Q6:AF6" si="3">SUM(Q4:Q5)</f>
        <v>0</v>
      </c>
      <c r="R6" s="57">
        <f t="shared" si="3"/>
        <v>3</v>
      </c>
      <c r="S6" s="57">
        <f t="shared" si="3"/>
        <v>1033</v>
      </c>
      <c r="T6" s="57">
        <f t="shared" si="3"/>
        <v>1033</v>
      </c>
      <c r="U6" s="57">
        <f t="shared" si="3"/>
        <v>4</v>
      </c>
      <c r="V6" s="57">
        <f t="shared" si="3"/>
        <v>170</v>
      </c>
      <c r="W6" s="57">
        <f t="shared" si="3"/>
        <v>7</v>
      </c>
      <c r="X6" s="57">
        <f t="shared" si="3"/>
        <v>1203</v>
      </c>
      <c r="Y6" s="57">
        <f t="shared" si="3"/>
        <v>270</v>
      </c>
      <c r="Z6" s="57">
        <f t="shared" si="3"/>
        <v>270</v>
      </c>
      <c r="AA6" s="57">
        <f t="shared" si="3"/>
        <v>3</v>
      </c>
      <c r="AB6" s="57">
        <f t="shared" si="3"/>
        <v>3</v>
      </c>
      <c r="AC6" s="57">
        <f t="shared" si="3"/>
        <v>0</v>
      </c>
      <c r="AD6" s="57">
        <f t="shared" si="3"/>
        <v>0</v>
      </c>
      <c r="AE6" s="57">
        <f t="shared" si="3"/>
        <v>0</v>
      </c>
      <c r="AF6" s="57">
        <f t="shared" si="3"/>
        <v>0</v>
      </c>
    </row>
    <row r="7">
      <c r="A7" s="12" t="s">
        <v>75</v>
      </c>
      <c r="B7" s="57">
        <f>sum('BC NGÀY'!C17:C47)</f>
        <v>1</v>
      </c>
      <c r="C7" s="57">
        <f>sum('BC NGÀY'!D17:D47)</f>
        <v>26</v>
      </c>
      <c r="D7" s="57">
        <f>sum('BC NGÀY'!E17:E47)</f>
        <v>2</v>
      </c>
      <c r="E7" s="57">
        <f>sum('BC NGÀY'!F17:F47)</f>
        <v>2</v>
      </c>
      <c r="F7" s="57">
        <f>sum('BC NGÀY'!G17:G47)</f>
        <v>159</v>
      </c>
      <c r="G7" s="57">
        <f>sum('BC NGÀY'!H17:H47)</f>
        <v>131</v>
      </c>
      <c r="H7" s="57">
        <f>sum('BC NGÀY'!I17:I47)</f>
        <v>2</v>
      </c>
      <c r="I7" s="57">
        <f>sum('BC NGÀY'!J17:J47)</f>
        <v>2</v>
      </c>
      <c r="J7" s="57">
        <f>sum('BC NGÀY'!K17:K47)</f>
        <v>2102</v>
      </c>
      <c r="K7" s="57">
        <f>sum('BC NGÀY'!L17:L47)</f>
        <v>6</v>
      </c>
      <c r="L7" s="57">
        <f>sum('BC NGÀY'!M17:M47)</f>
        <v>6</v>
      </c>
      <c r="M7" s="57">
        <f>sum('BC NGÀY'!N17:N47)</f>
        <v>229</v>
      </c>
      <c r="N7" s="57">
        <f>sum('BC NGÀY'!O17:O47)</f>
        <v>0</v>
      </c>
      <c r="O7" s="57">
        <f>sum('BC NGÀY'!P17:P47)</f>
        <v>0</v>
      </c>
      <c r="P7" s="57">
        <f>sum('BC NGÀY'!Q17:Q47)</f>
        <v>1</v>
      </c>
      <c r="Q7" s="57">
        <f>sum('BC NGÀY'!R17:R47)</f>
        <v>0</v>
      </c>
      <c r="R7" s="57">
        <f>sum('BC NGÀY'!S17:S47)</f>
        <v>5</v>
      </c>
      <c r="S7" s="57">
        <f>sum('BC NGÀY'!T17:T47)</f>
        <v>1089</v>
      </c>
      <c r="T7" s="57">
        <f>sum('BC NGÀY'!U17:U47)</f>
        <v>1089</v>
      </c>
      <c r="U7" s="57">
        <f>sum('BC NGÀY'!V17:V47)</f>
        <v>26</v>
      </c>
      <c r="V7" s="57">
        <f>sum('BC NGÀY'!W17:W47)</f>
        <v>1294</v>
      </c>
      <c r="W7" s="57">
        <f>sum('BC NGÀY'!X17:X47)</f>
        <v>31</v>
      </c>
      <c r="X7" s="57">
        <f>sum('BC NGÀY'!Y17:Y47)</f>
        <v>2383</v>
      </c>
      <c r="Y7" s="57">
        <f>sum('BC NGÀY'!Z17:Z47)</f>
        <v>290</v>
      </c>
      <c r="Z7" s="57">
        <f>sum('BC NGÀY'!AA17:AA47)</f>
        <v>290</v>
      </c>
      <c r="AA7" s="57">
        <f>sum('BC NGÀY'!AB17:AB47)</f>
        <v>15</v>
      </c>
      <c r="AB7" s="57">
        <f>sum('BC NGÀY'!AC17:AC47)</f>
        <v>15</v>
      </c>
      <c r="AC7" s="57">
        <f>sum('BC NGÀY'!AD17:AD47)</f>
        <v>0</v>
      </c>
      <c r="AD7" s="57">
        <f>sum('BC NGÀY'!AE17:AE47)</f>
        <v>0</v>
      </c>
      <c r="AE7" s="57">
        <f>sum('BC NGÀY'!AF17:AF47)</f>
        <v>0</v>
      </c>
      <c r="AF7" s="57">
        <f>sum('BC NGÀY'!AG17:AG47)</f>
        <v>0</v>
      </c>
    </row>
    <row r="8">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row>
    <row r="9">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row>
    <row r="10">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row>
    <row r="1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row>
    <row r="12">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row>
    <row r="1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row>
    <row r="14">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row>
    <row r="1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row>
    <row r="16">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row>
    <row r="17">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row>
    <row r="18">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row>
    <row r="19">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row>
    <row r="20">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c r="AA1001" s="59"/>
      <c r="AB1001" s="59"/>
      <c r="AC1001" s="59"/>
      <c r="AD1001" s="59"/>
      <c r="AE1001" s="59"/>
      <c r="AF1001" s="59"/>
    </row>
  </sheetData>
  <mergeCells count="39">
    <mergeCell ref="P2:P3"/>
    <mergeCell ref="Q2:Q3"/>
    <mergeCell ref="R2:R3"/>
    <mergeCell ref="S2:S3"/>
    <mergeCell ref="T2:T3"/>
    <mergeCell ref="U2:U3"/>
    <mergeCell ref="V2:V3"/>
    <mergeCell ref="W2:W3"/>
    <mergeCell ref="X2:X3"/>
    <mergeCell ref="Y2:Y3"/>
    <mergeCell ref="A1:A3"/>
    <mergeCell ref="B1:E1"/>
    <mergeCell ref="F1:O1"/>
    <mergeCell ref="P1:T1"/>
    <mergeCell ref="U1:V1"/>
    <mergeCell ref="W1:X1"/>
    <mergeCell ref="Y1:Z1"/>
    <mergeCell ref="Z2:Z3"/>
    <mergeCell ref="B2:B3"/>
    <mergeCell ref="C2:C3"/>
    <mergeCell ref="D2:D3"/>
    <mergeCell ref="E2:E3"/>
    <mergeCell ref="F2:G2"/>
    <mergeCell ref="H2:I2"/>
    <mergeCell ref="J2:J3"/>
    <mergeCell ref="K2:K3"/>
    <mergeCell ref="L2:L3"/>
    <mergeCell ref="M2:M3"/>
    <mergeCell ref="N2:N3"/>
    <mergeCell ref="O2:O3"/>
    <mergeCell ref="AE2:AE3"/>
    <mergeCell ref="AF2:AF3"/>
    <mergeCell ref="AA1:AB1"/>
    <mergeCell ref="AC1:AD1"/>
    <mergeCell ref="AE1:AF1"/>
    <mergeCell ref="AA2:AA3"/>
    <mergeCell ref="AB2:AB3"/>
    <mergeCell ref="AC2:AC3"/>
    <mergeCell ref="AD2:AD3"/>
  </mergeCells>
  <conditionalFormatting sqref="B1:E2 F1:G1 J1:AF2 F3:G3">
    <cfRule type="cellIs" dxfId="0" priority="1" operator="greaterThan">
      <formula>0</formula>
    </cfRule>
  </conditionalFormatting>
  <conditionalFormatting sqref="H2:I2">
    <cfRule type="cellIs" dxfId="0" priority="2" operator="greaterThan">
      <formula>0</formula>
    </cfRule>
  </conditionalFormatting>
  <conditionalFormatting sqref="B1:AF3">
    <cfRule type="cellIs" dxfId="0" priority="3" operator="greaterThan">
      <formula>0</formula>
    </cfRule>
  </conditionalFormatting>
  <conditionalFormatting sqref="B1:AF1001">
    <cfRule type="cellIs" dxfId="0" priority="4" operator="greater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4.0"/>
  </cols>
  <sheetData>
    <row r="1">
      <c r="A1" s="14" t="s">
        <v>76</v>
      </c>
      <c r="B1" s="2" t="s">
        <v>2</v>
      </c>
      <c r="C1" s="3"/>
      <c r="D1" s="3"/>
      <c r="E1" s="4"/>
      <c r="F1" s="5" t="s">
        <v>3</v>
      </c>
      <c r="G1" s="3"/>
      <c r="H1" s="3"/>
      <c r="I1" s="3"/>
      <c r="J1" s="3"/>
      <c r="K1" s="3"/>
      <c r="L1" s="3"/>
      <c r="M1" s="3"/>
      <c r="N1" s="3"/>
      <c r="O1" s="4"/>
      <c r="P1" s="6" t="s">
        <v>4</v>
      </c>
      <c r="Q1" s="3"/>
      <c r="R1" s="3"/>
      <c r="S1" s="3"/>
      <c r="T1" s="4"/>
      <c r="U1" s="6" t="s">
        <v>5</v>
      </c>
      <c r="V1" s="3"/>
      <c r="W1" s="50" t="s">
        <v>36</v>
      </c>
      <c r="X1" s="4"/>
      <c r="Y1" s="8" t="s">
        <v>6</v>
      </c>
      <c r="Z1" s="4"/>
      <c r="AA1" s="8" t="s">
        <v>7</v>
      </c>
      <c r="AB1" s="4"/>
      <c r="AC1" s="8" t="s">
        <v>8</v>
      </c>
      <c r="AD1" s="4"/>
      <c r="AE1" s="8" t="s">
        <v>9</v>
      </c>
      <c r="AF1" s="4"/>
    </row>
    <row r="2" ht="52.5" customHeight="1">
      <c r="A2" s="52"/>
      <c r="B2" s="14" t="s">
        <v>41</v>
      </c>
      <c r="C2" s="14" t="s">
        <v>42</v>
      </c>
      <c r="D2" s="14" t="s">
        <v>43</v>
      </c>
      <c r="E2" s="1" t="s">
        <v>13</v>
      </c>
      <c r="F2" s="53" t="s">
        <v>44</v>
      </c>
      <c r="H2" s="54" t="s">
        <v>16</v>
      </c>
      <c r="I2" s="4"/>
      <c r="J2" s="1" t="s">
        <v>17</v>
      </c>
      <c r="K2" s="1" t="s">
        <v>18</v>
      </c>
      <c r="L2" s="1" t="s">
        <v>19</v>
      </c>
      <c r="M2" s="1" t="s">
        <v>20</v>
      </c>
      <c r="N2" s="1" t="s">
        <v>21</v>
      </c>
      <c r="O2" s="1" t="s">
        <v>22</v>
      </c>
      <c r="P2" s="14" t="s">
        <v>45</v>
      </c>
      <c r="Q2" s="14" t="s">
        <v>46</v>
      </c>
      <c r="R2" s="1" t="s">
        <v>24</v>
      </c>
      <c r="S2" s="1" t="s">
        <v>25</v>
      </c>
      <c r="T2" s="1" t="s">
        <v>26</v>
      </c>
      <c r="U2" s="1" t="s">
        <v>28</v>
      </c>
      <c r="V2" s="1" t="s">
        <v>25</v>
      </c>
      <c r="W2" s="1" t="s">
        <v>37</v>
      </c>
      <c r="X2" s="1" t="s">
        <v>25</v>
      </c>
      <c r="Y2" s="1" t="s">
        <v>30</v>
      </c>
      <c r="Z2" s="1" t="s">
        <v>31</v>
      </c>
      <c r="AA2" s="1" t="s">
        <v>30</v>
      </c>
      <c r="AB2" s="1" t="s">
        <v>31</v>
      </c>
      <c r="AC2" s="1" t="s">
        <v>30</v>
      </c>
      <c r="AD2" s="1" t="s">
        <v>31</v>
      </c>
      <c r="AE2" s="1" t="s">
        <v>30</v>
      </c>
      <c r="AF2" s="1" t="s">
        <v>31</v>
      </c>
    </row>
    <row r="3">
      <c r="A3" s="9"/>
      <c r="B3" s="9"/>
      <c r="C3" s="9"/>
      <c r="D3" s="9"/>
      <c r="E3" s="9"/>
      <c r="F3" s="12" t="s">
        <v>14</v>
      </c>
      <c r="G3" s="12" t="s">
        <v>15</v>
      </c>
      <c r="H3" s="12" t="s">
        <v>14</v>
      </c>
      <c r="I3" s="12" t="s">
        <v>15</v>
      </c>
      <c r="J3" s="9"/>
      <c r="K3" s="9"/>
      <c r="L3" s="9"/>
      <c r="M3" s="9"/>
      <c r="N3" s="9"/>
      <c r="O3" s="9"/>
      <c r="P3" s="9"/>
      <c r="Q3" s="9"/>
      <c r="R3" s="9"/>
      <c r="S3" s="9"/>
      <c r="T3" s="9"/>
      <c r="U3" s="9"/>
      <c r="V3" s="9"/>
      <c r="W3" s="9"/>
      <c r="X3" s="9"/>
      <c r="Y3" s="9"/>
      <c r="Z3" s="9"/>
      <c r="AA3" s="9"/>
      <c r="AB3" s="9"/>
      <c r="AC3" s="9"/>
      <c r="AD3" s="9"/>
      <c r="AE3" s="9"/>
      <c r="AF3" s="9"/>
    </row>
    <row r="4">
      <c r="A4" s="58" t="s">
        <v>77</v>
      </c>
      <c r="B4" s="47">
        <f>SUM('BC NGÀY 1'!C33:C63)</f>
        <v>0</v>
      </c>
      <c r="C4" s="47">
        <f>SUM('BC NGÀY 1'!D33:D63)</f>
        <v>15</v>
      </c>
      <c r="D4" s="47">
        <f>SUM('BC NGÀY 1'!E33:E63)</f>
        <v>2</v>
      </c>
      <c r="E4" s="47">
        <f>SUM('BC NGÀY 1'!F33:F63)</f>
        <v>2</v>
      </c>
      <c r="F4" s="63">
        <f>SUM('BC NGÀY 1'!G33:G63)</f>
        <v>115</v>
      </c>
      <c r="G4" s="47">
        <f>SUM('BC NGÀY 1'!H33:H63)</f>
        <v>51</v>
      </c>
      <c r="H4" s="64">
        <f>SUM('BC NGÀY 1'!I33:I63)</f>
        <v>2</v>
      </c>
      <c r="I4" s="57"/>
      <c r="J4" s="47">
        <v>1087.0</v>
      </c>
      <c r="K4" s="47">
        <v>5.0</v>
      </c>
      <c r="L4" s="47">
        <v>5.0</v>
      </c>
      <c r="M4" s="47">
        <v>112.0</v>
      </c>
      <c r="N4" s="47">
        <f>SUM('BC NGÀY 1'!O33:O63)</f>
        <v>0</v>
      </c>
      <c r="O4" s="35">
        <v>2.0</v>
      </c>
      <c r="P4" s="55">
        <v>7.0</v>
      </c>
      <c r="Q4" s="35">
        <v>4.0</v>
      </c>
      <c r="R4" s="47">
        <v>23.0</v>
      </c>
      <c r="S4" s="47">
        <v>5863.0</v>
      </c>
      <c r="T4" s="47">
        <v>6200.0</v>
      </c>
      <c r="U4" s="47">
        <v>104.0</v>
      </c>
      <c r="V4" s="47">
        <v>4331.0</v>
      </c>
      <c r="W4" s="47">
        <v>127.0</v>
      </c>
      <c r="X4" s="47">
        <v>10194.0</v>
      </c>
      <c r="Y4" s="47">
        <v>147.0</v>
      </c>
      <c r="Z4" s="47">
        <v>147.0</v>
      </c>
      <c r="AA4" s="47">
        <v>18.0</v>
      </c>
      <c r="AB4" s="47">
        <v>18.0</v>
      </c>
      <c r="AC4" s="47">
        <v>0.0</v>
      </c>
      <c r="AD4" s="47">
        <v>0.0</v>
      </c>
      <c r="AE4" s="47">
        <v>0.0</v>
      </c>
      <c r="AF4" s="47">
        <v>0.0</v>
      </c>
    </row>
    <row r="5">
      <c r="A5" s="58" t="s">
        <v>78</v>
      </c>
      <c r="B5" s="47">
        <f>SUM('BC NGÀY 1'!C64:C93)</f>
        <v>2</v>
      </c>
      <c r="C5" s="47">
        <f>SUM('BC NGÀY 1'!D64:D93)</f>
        <v>39</v>
      </c>
      <c r="D5" s="47">
        <f>SUM('BC NGÀY 1'!E64:E93)</f>
        <v>1</v>
      </c>
      <c r="E5" s="47">
        <f>SUM('BC NGÀY 1'!F64:F93)</f>
        <v>1</v>
      </c>
      <c r="F5" s="47">
        <f>SUM('BC NGÀY 1'!G64:G93)</f>
        <v>206</v>
      </c>
      <c r="G5" s="47">
        <f>SUM('BC NGÀY 1'!H64:H93)</f>
        <v>75</v>
      </c>
      <c r="H5" s="47">
        <f>SUM('BC NGÀY 1'!I64:I93)</f>
        <v>4</v>
      </c>
      <c r="I5" s="57"/>
      <c r="J5" s="47">
        <v>2012.0</v>
      </c>
      <c r="K5" s="47">
        <v>11.0</v>
      </c>
      <c r="L5" s="47">
        <v>11.0</v>
      </c>
      <c r="M5" s="47">
        <v>170.0</v>
      </c>
      <c r="N5" s="47">
        <f>SUM('BC NGÀY 1'!O64:O93)</f>
        <v>0</v>
      </c>
      <c r="O5" s="47">
        <f>SUM('BC NGÀY 1'!P64:P93)</f>
        <v>7</v>
      </c>
      <c r="P5" s="55">
        <v>6.0</v>
      </c>
      <c r="Q5" s="35">
        <v>1.0</v>
      </c>
      <c r="R5" s="47">
        <v>13.0</v>
      </c>
      <c r="S5" s="47">
        <v>5915.0</v>
      </c>
      <c r="T5" s="47">
        <v>5915.0</v>
      </c>
      <c r="U5" s="47">
        <v>57.0</v>
      </c>
      <c r="V5" s="47">
        <v>2748.0</v>
      </c>
      <c r="W5" s="47">
        <v>70.0</v>
      </c>
      <c r="X5" s="47">
        <v>8663.0</v>
      </c>
      <c r="Y5" s="47">
        <v>277.0</v>
      </c>
      <c r="Z5" s="47">
        <v>277.0</v>
      </c>
      <c r="AA5" s="47">
        <v>24.0</v>
      </c>
      <c r="AB5" s="47">
        <v>24.0</v>
      </c>
      <c r="AC5" s="47">
        <v>0.0</v>
      </c>
      <c r="AD5" s="47">
        <v>0.0</v>
      </c>
      <c r="AE5" s="47">
        <v>0.0</v>
      </c>
      <c r="AF5" s="47">
        <v>0.0</v>
      </c>
    </row>
    <row r="6">
      <c r="A6" s="58" t="s">
        <v>74</v>
      </c>
      <c r="B6" s="57">
        <v>1.0</v>
      </c>
      <c r="C6" s="57">
        <v>11.0</v>
      </c>
      <c r="D6" s="57">
        <v>0.0</v>
      </c>
      <c r="E6" s="57">
        <v>2.0</v>
      </c>
      <c r="F6" s="57">
        <v>167.0</v>
      </c>
      <c r="G6" s="57">
        <v>103.0</v>
      </c>
      <c r="H6" s="57">
        <v>0.0</v>
      </c>
      <c r="I6" s="57">
        <v>0.0</v>
      </c>
      <c r="J6" s="57">
        <v>2078.0</v>
      </c>
      <c r="K6" s="57">
        <v>0.0</v>
      </c>
      <c r="L6" s="57">
        <v>0.0</v>
      </c>
      <c r="M6" s="57">
        <v>0.0</v>
      </c>
      <c r="N6" s="57">
        <v>0.0</v>
      </c>
      <c r="O6" s="57">
        <v>0.0</v>
      </c>
      <c r="P6" s="55">
        <v>10.0</v>
      </c>
      <c r="Q6" s="57">
        <v>0.0</v>
      </c>
      <c r="R6" s="57">
        <v>3.0</v>
      </c>
      <c r="S6" s="57">
        <v>1033.0</v>
      </c>
      <c r="T6" s="57">
        <v>1033.0</v>
      </c>
      <c r="U6" s="57">
        <v>4.0</v>
      </c>
      <c r="V6" s="57">
        <v>170.0</v>
      </c>
      <c r="W6" s="57">
        <v>7.0</v>
      </c>
      <c r="X6" s="57">
        <v>1203.0</v>
      </c>
      <c r="Y6" s="57">
        <v>270.0</v>
      </c>
      <c r="Z6" s="57">
        <v>270.0</v>
      </c>
      <c r="AA6" s="57">
        <v>3.0</v>
      </c>
      <c r="AB6" s="57">
        <v>3.0</v>
      </c>
      <c r="AC6" s="57">
        <v>0.0</v>
      </c>
      <c r="AD6" s="57">
        <v>0.0</v>
      </c>
      <c r="AE6" s="57">
        <v>0.0</v>
      </c>
      <c r="AF6" s="57">
        <v>0.0</v>
      </c>
    </row>
    <row r="7">
      <c r="A7" s="12" t="s">
        <v>79</v>
      </c>
      <c r="B7" s="57">
        <f t="shared" ref="B7:AF7" si="1">sum(B4:B6)</f>
        <v>3</v>
      </c>
      <c r="C7" s="57">
        <f t="shared" si="1"/>
        <v>65</v>
      </c>
      <c r="D7" s="57">
        <f t="shared" si="1"/>
        <v>3</v>
      </c>
      <c r="E7" s="57">
        <f t="shared" si="1"/>
        <v>5</v>
      </c>
      <c r="F7" s="57">
        <f t="shared" si="1"/>
        <v>488</v>
      </c>
      <c r="G7" s="57">
        <f t="shared" si="1"/>
        <v>229</v>
      </c>
      <c r="H7" s="57">
        <f t="shared" si="1"/>
        <v>6</v>
      </c>
      <c r="I7" s="57">
        <f t="shared" si="1"/>
        <v>0</v>
      </c>
      <c r="J7" s="57">
        <f t="shared" si="1"/>
        <v>5177</v>
      </c>
      <c r="K7" s="57">
        <f t="shared" si="1"/>
        <v>16</v>
      </c>
      <c r="L7" s="57">
        <f t="shared" si="1"/>
        <v>16</v>
      </c>
      <c r="M7" s="57">
        <f t="shared" si="1"/>
        <v>282</v>
      </c>
      <c r="N7" s="57">
        <f t="shared" si="1"/>
        <v>0</v>
      </c>
      <c r="O7" s="57">
        <f t="shared" si="1"/>
        <v>9</v>
      </c>
      <c r="P7" s="57">
        <f t="shared" si="1"/>
        <v>23</v>
      </c>
      <c r="Q7" s="57">
        <f t="shared" si="1"/>
        <v>5</v>
      </c>
      <c r="R7" s="57">
        <f t="shared" si="1"/>
        <v>39</v>
      </c>
      <c r="S7" s="57">
        <f t="shared" si="1"/>
        <v>12811</v>
      </c>
      <c r="T7" s="57">
        <f t="shared" si="1"/>
        <v>13148</v>
      </c>
      <c r="U7" s="57">
        <f t="shared" si="1"/>
        <v>165</v>
      </c>
      <c r="V7" s="57">
        <f t="shared" si="1"/>
        <v>7249</v>
      </c>
      <c r="W7" s="57">
        <f t="shared" si="1"/>
        <v>204</v>
      </c>
      <c r="X7" s="57">
        <f t="shared" si="1"/>
        <v>20060</v>
      </c>
      <c r="Y7" s="57">
        <f t="shared" si="1"/>
        <v>694</v>
      </c>
      <c r="Z7" s="57">
        <f t="shared" si="1"/>
        <v>694</v>
      </c>
      <c r="AA7" s="57">
        <f t="shared" si="1"/>
        <v>45</v>
      </c>
      <c r="AB7" s="57">
        <f t="shared" si="1"/>
        <v>45</v>
      </c>
      <c r="AC7" s="57">
        <f t="shared" si="1"/>
        <v>0</v>
      </c>
      <c r="AD7" s="57">
        <f t="shared" si="1"/>
        <v>0</v>
      </c>
      <c r="AE7" s="57">
        <f t="shared" si="1"/>
        <v>0</v>
      </c>
      <c r="AF7" s="57">
        <f t="shared" si="1"/>
        <v>0</v>
      </c>
    </row>
    <row r="8">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row>
    <row r="9">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row>
    <row r="10">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row>
    <row r="11">
      <c r="A11" s="59"/>
      <c r="B11" s="59"/>
      <c r="C11" s="59"/>
      <c r="D11" s="59"/>
      <c r="E11" s="59"/>
      <c r="F11" s="65"/>
      <c r="G11" s="65"/>
      <c r="H11" s="65"/>
      <c r="I11" s="59"/>
      <c r="J11" s="59"/>
      <c r="K11" s="59"/>
      <c r="L11" s="59"/>
      <c r="M11" s="59"/>
      <c r="N11" s="59"/>
      <c r="O11" s="59"/>
      <c r="P11" s="59"/>
      <c r="Q11" s="59"/>
      <c r="R11" s="59"/>
      <c r="S11" s="59"/>
      <c r="T11" s="59"/>
      <c r="U11" s="59"/>
      <c r="V11" s="59"/>
      <c r="W11" s="59"/>
      <c r="X11" s="59"/>
      <c r="Y11" s="59"/>
      <c r="Z11" s="59"/>
      <c r="AA11" s="59"/>
      <c r="AB11" s="59"/>
      <c r="AC11" s="59"/>
      <c r="AD11" s="59"/>
      <c r="AE11" s="59"/>
      <c r="AF11" s="59"/>
    </row>
    <row r="12">
      <c r="A12" s="59"/>
      <c r="B12" s="59"/>
      <c r="C12" s="59"/>
      <c r="D12" s="59"/>
      <c r="E12" s="59"/>
      <c r="F12" s="65"/>
      <c r="G12" s="65"/>
      <c r="H12" s="65"/>
      <c r="I12" s="59"/>
      <c r="J12" s="59"/>
      <c r="K12" s="59"/>
      <c r="L12" s="59"/>
      <c r="M12" s="59"/>
      <c r="N12" s="59"/>
      <c r="O12" s="59"/>
      <c r="P12" s="59"/>
      <c r="Q12" s="59"/>
      <c r="R12" s="59"/>
      <c r="S12" s="59"/>
      <c r="T12" s="59"/>
      <c r="U12" s="59"/>
      <c r="V12" s="59"/>
      <c r="W12" s="59"/>
      <c r="X12" s="59"/>
      <c r="Y12" s="59"/>
      <c r="Z12" s="59"/>
      <c r="AA12" s="59"/>
      <c r="AB12" s="59"/>
      <c r="AC12" s="59"/>
      <c r="AD12" s="59"/>
      <c r="AE12" s="59"/>
      <c r="AF12" s="59"/>
    </row>
    <row r="13">
      <c r="A13" s="59"/>
      <c r="B13" s="59"/>
      <c r="C13" s="59"/>
      <c r="D13" s="59"/>
      <c r="E13" s="59"/>
      <c r="F13" s="65"/>
      <c r="G13" s="65"/>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row>
    <row r="14">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row>
    <row r="1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row>
    <row r="16">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row>
    <row r="17">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row>
    <row r="18">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row>
    <row r="19">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row>
    <row r="20">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c r="AA1001" s="59"/>
      <c r="AB1001" s="59"/>
      <c r="AC1001" s="59"/>
      <c r="AD1001" s="59"/>
      <c r="AE1001" s="59"/>
      <c r="AF1001" s="59"/>
    </row>
    <row r="1002">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c r="AA1002" s="59"/>
      <c r="AB1002" s="59"/>
      <c r="AC1002" s="59"/>
      <c r="AD1002" s="59"/>
      <c r="AE1002" s="59"/>
      <c r="AF1002" s="59"/>
    </row>
  </sheetData>
  <mergeCells count="39">
    <mergeCell ref="P2:P3"/>
    <mergeCell ref="Q2:Q3"/>
    <mergeCell ref="R2:R3"/>
    <mergeCell ref="S2:S3"/>
    <mergeCell ref="T2:T3"/>
    <mergeCell ref="U2:U3"/>
    <mergeCell ref="V2:V3"/>
    <mergeCell ref="W2:W3"/>
    <mergeCell ref="X2:X3"/>
    <mergeCell ref="Y2:Y3"/>
    <mergeCell ref="A1:A3"/>
    <mergeCell ref="B1:E1"/>
    <mergeCell ref="F1:O1"/>
    <mergeCell ref="P1:T1"/>
    <mergeCell ref="U1:V1"/>
    <mergeCell ref="W1:X1"/>
    <mergeCell ref="Y1:Z1"/>
    <mergeCell ref="Z2:Z3"/>
    <mergeCell ref="B2:B3"/>
    <mergeCell ref="C2:C3"/>
    <mergeCell ref="D2:D3"/>
    <mergeCell ref="E2:E3"/>
    <mergeCell ref="F2:G2"/>
    <mergeCell ref="H2:I2"/>
    <mergeCell ref="J2:J3"/>
    <mergeCell ref="K2:K3"/>
    <mergeCell ref="L2:L3"/>
    <mergeCell ref="M2:M3"/>
    <mergeCell ref="N2:N3"/>
    <mergeCell ref="O2:O3"/>
    <mergeCell ref="AE2:AE3"/>
    <mergeCell ref="AF2:AF3"/>
    <mergeCell ref="AA1:AB1"/>
    <mergeCell ref="AC1:AD1"/>
    <mergeCell ref="AE1:AF1"/>
    <mergeCell ref="AA2:AA3"/>
    <mergeCell ref="AB2:AB3"/>
    <mergeCell ref="AC2:AC3"/>
    <mergeCell ref="AD2:AD3"/>
  </mergeCells>
  <conditionalFormatting sqref="B1:E2 F1:G1 J1:AF2 F3:G3">
    <cfRule type="cellIs" dxfId="0" priority="1" operator="greaterThan">
      <formula>0</formula>
    </cfRule>
  </conditionalFormatting>
  <conditionalFormatting sqref="H2:I2">
    <cfRule type="cellIs" dxfId="0" priority="2" operator="greaterThan">
      <formula>0</formula>
    </cfRule>
  </conditionalFormatting>
  <conditionalFormatting sqref="B1:AF3">
    <cfRule type="cellIs" dxfId="0" priority="3" operator="greaterThan">
      <formula>0</formula>
    </cfRule>
  </conditionalFormatting>
  <conditionalFormatting sqref="B1:AF1002">
    <cfRule type="cellIs" dxfId="0" priority="4" operator="greaterThan">
      <formula>0</formula>
    </cfRule>
  </conditionalFormatting>
  <conditionalFormatting sqref="B4:AF1002">
    <cfRule type="cellIs" dxfId="0" priority="5" operator="greater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5"/>
    <col customWidth="1" min="2" max="2" width="8.38"/>
    <col customWidth="1" min="3" max="3" width="14.75"/>
    <col customWidth="1" min="4" max="4" width="20.63"/>
    <col customWidth="1" min="6" max="6" width="14.5"/>
    <col customWidth="1" min="9" max="10" width="20.13"/>
    <col customWidth="1" min="11" max="11" width="20.75"/>
    <col customWidth="1" min="16" max="16" width="14.38"/>
    <col customWidth="1" min="21" max="21" width="14.25"/>
    <col customWidth="1" min="22" max="22" width="11.0"/>
    <col customWidth="1" min="23" max="23" width="13.75"/>
    <col customWidth="1" min="24" max="31" width="14.25"/>
  </cols>
  <sheetData>
    <row r="1">
      <c r="A1" s="22" t="s">
        <v>0</v>
      </c>
      <c r="B1" s="22" t="s">
        <v>1</v>
      </c>
      <c r="C1" s="23" t="s">
        <v>2</v>
      </c>
      <c r="D1" s="3"/>
      <c r="E1" s="3"/>
      <c r="F1" s="4"/>
      <c r="G1" s="24" t="s">
        <v>3</v>
      </c>
      <c r="H1" s="3"/>
      <c r="I1" s="3"/>
      <c r="J1" s="3"/>
      <c r="K1" s="3"/>
      <c r="L1" s="3"/>
      <c r="M1" s="3"/>
      <c r="N1" s="3"/>
      <c r="O1" s="4"/>
      <c r="P1" s="6" t="s">
        <v>4</v>
      </c>
      <c r="Q1" s="3"/>
      <c r="R1" s="3"/>
      <c r="S1" s="4"/>
      <c r="T1" s="6" t="s">
        <v>5</v>
      </c>
      <c r="U1" s="3"/>
      <c r="V1" s="50" t="s">
        <v>36</v>
      </c>
      <c r="W1" s="4"/>
      <c r="X1" s="27" t="s">
        <v>6</v>
      </c>
      <c r="Y1" s="4"/>
      <c r="Z1" s="27" t="s">
        <v>7</v>
      </c>
      <c r="AA1" s="4"/>
      <c r="AB1" s="27" t="s">
        <v>8</v>
      </c>
      <c r="AC1" s="4"/>
      <c r="AD1" s="27" t="s">
        <v>9</v>
      </c>
      <c r="AE1" s="4"/>
    </row>
    <row r="2">
      <c r="A2" s="9"/>
      <c r="B2" s="9"/>
      <c r="C2" s="28" t="s">
        <v>10</v>
      </c>
      <c r="D2" s="28" t="s">
        <v>11</v>
      </c>
      <c r="E2" s="28" t="s">
        <v>12</v>
      </c>
      <c r="F2" s="29" t="s">
        <v>13</v>
      </c>
      <c r="G2" s="30" t="s">
        <v>14</v>
      </c>
      <c r="H2" s="30" t="s">
        <v>15</v>
      </c>
      <c r="I2" s="31" t="s">
        <v>16</v>
      </c>
      <c r="J2" s="22" t="s">
        <v>17</v>
      </c>
      <c r="K2" s="22" t="s">
        <v>18</v>
      </c>
      <c r="L2" s="31" t="s">
        <v>19</v>
      </c>
      <c r="M2" s="22" t="s">
        <v>20</v>
      </c>
      <c r="N2" s="31" t="s">
        <v>21</v>
      </c>
      <c r="O2" s="31" t="s">
        <v>22</v>
      </c>
      <c r="P2" s="28" t="s">
        <v>23</v>
      </c>
      <c r="Q2" s="28" t="s">
        <v>24</v>
      </c>
      <c r="R2" s="28" t="s">
        <v>25</v>
      </c>
      <c r="S2" s="28" t="s">
        <v>26</v>
      </c>
      <c r="T2" s="28" t="s">
        <v>28</v>
      </c>
      <c r="U2" s="28" t="s">
        <v>25</v>
      </c>
      <c r="V2" s="32" t="s">
        <v>37</v>
      </c>
      <c r="W2" s="32" t="s">
        <v>25</v>
      </c>
      <c r="X2" s="28" t="s">
        <v>30</v>
      </c>
      <c r="Y2" s="28" t="s">
        <v>31</v>
      </c>
      <c r="Z2" s="28" t="s">
        <v>30</v>
      </c>
      <c r="AA2" s="28" t="s">
        <v>31</v>
      </c>
      <c r="AB2" s="28" t="s">
        <v>30</v>
      </c>
      <c r="AC2" s="28" t="s">
        <v>31</v>
      </c>
      <c r="AD2" s="28" t="s">
        <v>30</v>
      </c>
      <c r="AE2" s="28" t="s">
        <v>31</v>
      </c>
    </row>
    <row r="3">
      <c r="A3" s="66" t="s">
        <v>80</v>
      </c>
      <c r="B3" s="67">
        <v>11.0</v>
      </c>
      <c r="C3" s="45">
        <f>sum('BC NGÀY 1'!C3:C7)</f>
        <v>0</v>
      </c>
      <c r="D3" s="45">
        <f>sum('BC NGÀY 1'!D3:D7)</f>
        <v>1</v>
      </c>
      <c r="E3" s="45">
        <f>sum('BC NGÀY 1'!E3:E7)</f>
        <v>0</v>
      </c>
      <c r="F3" s="45">
        <f>sum('BC NGÀY 1'!F3:F7)</f>
        <v>1</v>
      </c>
      <c r="G3" s="45">
        <f>sum('BC NGÀY 1'!G3:G7)</f>
        <v>6</v>
      </c>
      <c r="H3" s="45">
        <f>sum('BC NGÀY 1'!H3:H7)</f>
        <v>13</v>
      </c>
      <c r="I3" s="68">
        <f>sum('BC NGÀY 1'!I19:I25)</f>
        <v>0</v>
      </c>
      <c r="J3" s="45">
        <f>sum('BC NGÀY 1'!J3:J7)</f>
        <v>111</v>
      </c>
      <c r="K3" s="45">
        <f>sum('BC NGÀY 1'!K3:K7)</f>
        <v>0</v>
      </c>
      <c r="L3" s="45">
        <f>sum('BC NGÀY 1'!L3:L7)</f>
        <v>0</v>
      </c>
      <c r="M3" s="45">
        <f>sum('BC NGÀY 1'!M3:M7)</f>
        <v>0</v>
      </c>
      <c r="N3" s="45">
        <f>sum('BC NGÀY 1'!N3:N7)</f>
        <v>0</v>
      </c>
      <c r="O3" s="45">
        <f>sum('BC NGÀY 1'!O3:O7)</f>
        <v>0</v>
      </c>
      <c r="P3" s="45">
        <f>sum('BC NGÀY 1'!P3:P7)</f>
        <v>0</v>
      </c>
      <c r="Q3" s="45">
        <f>sum('BC NGÀY 1'!Q3:Q7)</f>
        <v>1</v>
      </c>
      <c r="R3" s="45">
        <f>sum('BC NGÀY 1'!R3:R7)</f>
        <v>1200</v>
      </c>
      <c r="S3" s="45">
        <f>sum('BC NGÀY 1'!S3:S7)</f>
        <v>0</v>
      </c>
      <c r="T3" s="45">
        <f>sum('BC NGÀY 1'!T3:T7)</f>
        <v>0</v>
      </c>
      <c r="U3" s="45">
        <f>sum('BC NGÀY 1'!U3:U7)</f>
        <v>0</v>
      </c>
      <c r="V3" s="45">
        <f t="shared" ref="V3:W3" si="1">Q3+T3</f>
        <v>1</v>
      </c>
      <c r="W3" s="45">
        <f t="shared" si="1"/>
        <v>1200</v>
      </c>
      <c r="X3" s="45">
        <f>sum('BC NGÀY 1'!X3:X7)</f>
        <v>19</v>
      </c>
      <c r="Y3" s="45">
        <f>sum('BC NGÀY 1'!Y3:Y7)</f>
        <v>0</v>
      </c>
      <c r="Z3" s="45">
        <f>sum('BC NGÀY 1'!Z3:Z7)</f>
        <v>0</v>
      </c>
      <c r="AA3" s="45">
        <f>sum('BC NGÀY 1'!AA3:AA7)</f>
        <v>0</v>
      </c>
      <c r="AB3" s="45">
        <f>sum('BC NGÀY 1'!AB3:AB7)</f>
        <v>0</v>
      </c>
      <c r="AC3" s="45">
        <f>sum('BC NGÀY 1'!AC3:AC7)</f>
        <v>0</v>
      </c>
      <c r="AD3" s="45">
        <f>sum('BC NGÀY 1'!AD3:AD7)</f>
        <v>0</v>
      </c>
      <c r="AE3" s="45">
        <f>sum('BC NGÀY 1'!AE3:AE7)</f>
        <v>0</v>
      </c>
    </row>
    <row r="4">
      <c r="A4" s="66" t="s">
        <v>81</v>
      </c>
      <c r="B4" s="67">
        <v>11.0</v>
      </c>
      <c r="C4" s="68">
        <f>sum('BC NGÀY 1'!C8:C14)</f>
        <v>1</v>
      </c>
      <c r="D4" s="68">
        <f>sum('BC NGÀY 1'!D8:D14)</f>
        <v>2</v>
      </c>
      <c r="E4" s="68">
        <f>sum('BC NGÀY 1'!E8:E14)</f>
        <v>0</v>
      </c>
      <c r="F4" s="68">
        <f>sum('BC NGÀY 1'!F8:F14)</f>
        <v>0</v>
      </c>
      <c r="G4" s="68">
        <f>sum('BC NGÀY 1'!G8:G14)</f>
        <v>3</v>
      </c>
      <c r="H4" s="68">
        <f>sum('BC NGÀY 1'!H8:H14)</f>
        <v>2</v>
      </c>
      <c r="I4" s="68">
        <f>sum('BC NGÀY 1'!I20:I26)</f>
        <v>0</v>
      </c>
      <c r="J4" s="68">
        <f>sum('BC NGÀY 1'!J8:J14)</f>
        <v>33</v>
      </c>
      <c r="K4" s="68">
        <f>sum('BC NGÀY 1'!K8:K14)</f>
        <v>0</v>
      </c>
      <c r="L4" s="68">
        <f>sum('BC NGÀY 1'!L8:L14)</f>
        <v>0</v>
      </c>
      <c r="M4" s="68">
        <f>sum('BC NGÀY 1'!M8:M14)</f>
        <v>0</v>
      </c>
      <c r="N4" s="68">
        <f>sum('BC NGÀY 1'!N8:N14)</f>
        <v>0</v>
      </c>
      <c r="O4" s="68">
        <f>sum('BC NGÀY 1'!O8:O14)</f>
        <v>0</v>
      </c>
      <c r="P4" s="68">
        <f>sum('BC NGÀY 1'!P8:P14)</f>
        <v>0</v>
      </c>
      <c r="Q4" s="68">
        <f>sum('BC NGÀY 1'!Q8:Q14)</f>
        <v>0</v>
      </c>
      <c r="R4" s="68">
        <f>sum('BC NGÀY 1'!R8:R14)</f>
        <v>0</v>
      </c>
      <c r="S4" s="68">
        <f>sum('BC NGÀY 1'!S8:S14)</f>
        <v>0</v>
      </c>
      <c r="T4" s="68">
        <f>sum('BC NGÀY 1'!T8:T14)</f>
        <v>0</v>
      </c>
      <c r="U4" s="68">
        <f>sum('BC NGÀY 1'!U8:U14)</f>
        <v>0</v>
      </c>
      <c r="V4" s="45">
        <f t="shared" ref="V4:W4" si="2">Q4+T4</f>
        <v>0</v>
      </c>
      <c r="W4" s="45">
        <f t="shared" si="2"/>
        <v>0</v>
      </c>
      <c r="X4" s="68">
        <f>sum('BC NGÀY 1'!X8:X14)</f>
        <v>5</v>
      </c>
      <c r="Y4" s="68">
        <f>sum('BC NGÀY 1'!Y8:Y14)</f>
        <v>0</v>
      </c>
      <c r="Z4" s="68">
        <f>sum('BC NGÀY 1'!Z8:Z14)</f>
        <v>0</v>
      </c>
      <c r="AA4" s="68">
        <f>sum('BC NGÀY 1'!AA8:AA14)</f>
        <v>0</v>
      </c>
      <c r="AB4" s="68">
        <f>sum('BC NGÀY 1'!AB8:AB14)</f>
        <v>0</v>
      </c>
      <c r="AC4" s="68">
        <f>sum('BC NGÀY 1'!AC8:AC14)</f>
        <v>0</v>
      </c>
      <c r="AD4" s="68">
        <f>sum('BC NGÀY 1'!AD8:AD14)</f>
        <v>0</v>
      </c>
      <c r="AE4" s="68">
        <f>sum('BC NGÀY 1'!AE8:AE14)</f>
        <v>0</v>
      </c>
    </row>
    <row r="5">
      <c r="A5" s="66" t="s">
        <v>82</v>
      </c>
      <c r="B5" s="67">
        <v>12.0</v>
      </c>
      <c r="C5" s="68">
        <f>sum('BC NGÀY 1'!C15:C21)</f>
        <v>0</v>
      </c>
      <c r="D5" s="68">
        <f>sum('BC NGÀY 1'!D15:D21)</f>
        <v>0</v>
      </c>
      <c r="E5" s="68">
        <f>sum('BC NGÀY 1'!E15:E21)</f>
        <v>0</v>
      </c>
      <c r="F5" s="68">
        <f>sum('BC NGÀY 1'!F15:F21)</f>
        <v>0</v>
      </c>
      <c r="G5" s="68">
        <f>sum('BC NGÀY 1'!G15:G21)</f>
        <v>3</v>
      </c>
      <c r="H5" s="68">
        <f>sum('BC NGÀY 1'!H15:H21)</f>
        <v>20</v>
      </c>
      <c r="I5" s="68">
        <f>sum('BC NGÀY 1'!I21:I27)</f>
        <v>0</v>
      </c>
      <c r="J5" s="68">
        <f>sum('BC NGÀY 1'!J15:J21)</f>
        <v>156</v>
      </c>
      <c r="K5" s="68">
        <f>sum('BC NGÀY 1'!K15:K21)</f>
        <v>0</v>
      </c>
      <c r="L5" s="68">
        <f>sum('BC NGÀY 1'!L15:L21)</f>
        <v>0</v>
      </c>
      <c r="M5" s="68">
        <f>sum('BC NGÀY 1'!M15:M21)</f>
        <v>0</v>
      </c>
      <c r="N5" s="68">
        <f>sum('BC NGÀY 1'!N15:N21)</f>
        <v>0</v>
      </c>
      <c r="O5" s="68">
        <f>sum('BC NGÀY 1'!O15:O21)</f>
        <v>0</v>
      </c>
      <c r="P5" s="68">
        <f>sum('BC NGÀY 1'!P15:P21)</f>
        <v>1</v>
      </c>
      <c r="Q5" s="68">
        <f>sum('BC NGÀY 1'!Q15:Q21)</f>
        <v>2</v>
      </c>
      <c r="R5" s="68">
        <f>sum('BC NGÀY 1'!R15:R21)</f>
        <v>575</v>
      </c>
      <c r="S5" s="68">
        <f>sum('BC NGÀY 1'!S15:S21)</f>
        <v>0</v>
      </c>
      <c r="T5" s="68">
        <f>sum('BC NGÀY 1'!T15:T21)</f>
        <v>11</v>
      </c>
      <c r="U5" s="68">
        <f>sum('BC NGÀY 1'!U15:U21)</f>
        <v>512</v>
      </c>
      <c r="V5" s="45">
        <f t="shared" ref="V5:W5" si="3">Q5+T5</f>
        <v>13</v>
      </c>
      <c r="W5" s="45">
        <f t="shared" si="3"/>
        <v>1087</v>
      </c>
      <c r="X5" s="45">
        <v>23.0</v>
      </c>
      <c r="Y5" s="45">
        <v>23.0</v>
      </c>
      <c r="Z5" s="68">
        <f>sum('BC NGÀY 1'!Z15:Z21)</f>
        <v>2</v>
      </c>
      <c r="AA5" s="68">
        <f>sum('BC NGÀY 1'!AA15:AA21)</f>
        <v>2</v>
      </c>
      <c r="AB5" s="68">
        <f>sum('BC NGÀY 1'!AB15:AB21)</f>
        <v>0</v>
      </c>
      <c r="AC5" s="68">
        <f>sum('BC NGÀY 1'!AC15:AC21)</f>
        <v>0</v>
      </c>
      <c r="AD5" s="68">
        <f>sum('BC NGÀY 1'!AD15:AD21)</f>
        <v>0</v>
      </c>
      <c r="AE5" s="68">
        <f>sum('BC NGÀY 1'!AE15:AE21)</f>
        <v>0</v>
      </c>
    </row>
    <row r="6">
      <c r="A6" s="66" t="s">
        <v>83</v>
      </c>
      <c r="B6" s="67">
        <v>12.0</v>
      </c>
      <c r="C6" s="68">
        <f>sum('BC NGÀY 1'!C22:C28)</f>
        <v>0</v>
      </c>
      <c r="D6" s="68">
        <f>sum('BC NGÀY 1'!D22:D28)</f>
        <v>2</v>
      </c>
      <c r="E6" s="68">
        <f>sum('BC NGÀY 1'!E22:E28)</f>
        <v>1</v>
      </c>
      <c r="F6" s="68">
        <f>sum('BC NGÀY 1'!F22:F28)</f>
        <v>0</v>
      </c>
      <c r="G6" s="68">
        <f>sum('BC NGÀY 1'!G22:G28)</f>
        <v>10</v>
      </c>
      <c r="H6" s="68">
        <f>sum('BC NGÀY 1'!H22:H28)</f>
        <v>25</v>
      </c>
      <c r="I6" s="68">
        <f>sum('BC NGÀY 1'!I22:I28)</f>
        <v>1</v>
      </c>
      <c r="J6" s="68">
        <f>sum('BC NGÀY 1'!J22:J28)</f>
        <v>218</v>
      </c>
      <c r="K6" s="68">
        <f>sum('BC NGÀY 1'!K22:K28)</f>
        <v>1</v>
      </c>
      <c r="L6" s="68">
        <f>sum('BC NGÀY 1'!L22:L28)</f>
        <v>1</v>
      </c>
      <c r="M6" s="68">
        <f>sum('BC NGÀY 1'!M22:M28)</f>
        <v>50</v>
      </c>
      <c r="N6" s="68">
        <f>sum('BC NGÀY 1'!N22:N28)</f>
        <v>0</v>
      </c>
      <c r="O6" s="68">
        <f>sum('BC NGÀY 1'!O22:O28)</f>
        <v>0</v>
      </c>
      <c r="P6" s="68">
        <f>sum('BC NGÀY 1'!P22:P28)</f>
        <v>0</v>
      </c>
      <c r="Q6" s="68">
        <f>sum('BC NGÀY 1'!Q22:Q28)</f>
        <v>0</v>
      </c>
      <c r="R6" s="68">
        <f>sum('BC NGÀY 1'!R22:R28)</f>
        <v>0</v>
      </c>
      <c r="S6" s="68">
        <f>sum('BC NGÀY 1'!S22:S28)</f>
        <v>0</v>
      </c>
      <c r="T6" s="68">
        <f>sum('BC NGÀY 1'!T22:T28)</f>
        <v>7</v>
      </c>
      <c r="U6" s="68">
        <f>sum('BC NGÀY 1'!U22:U28)</f>
        <v>458</v>
      </c>
      <c r="V6" s="45">
        <f t="shared" ref="V6:W6" si="4">Q6+T6</f>
        <v>7</v>
      </c>
      <c r="W6" s="45">
        <f t="shared" si="4"/>
        <v>458</v>
      </c>
      <c r="X6" s="68">
        <f>sum('BC NGÀY 1'!X22:X28)</f>
        <v>35</v>
      </c>
      <c r="Y6" s="68">
        <f>sum('BC NGÀY 1'!Y22:Y28)</f>
        <v>0</v>
      </c>
      <c r="Z6" s="68">
        <f>sum('BC NGÀY 1'!Z22:Z28)</f>
        <v>1</v>
      </c>
      <c r="AA6" s="68">
        <f>sum('BC NGÀY 1'!AA22:AA28)</f>
        <v>1</v>
      </c>
      <c r="AB6" s="68">
        <f>sum('BC NGÀY 1'!AB22:AB28)</f>
        <v>0</v>
      </c>
      <c r="AC6" s="68">
        <f>sum('BC NGÀY 1'!AC22:AC28)</f>
        <v>0</v>
      </c>
      <c r="AD6" s="68">
        <f>sum('BC NGÀY 1'!AD22:AD28)</f>
        <v>0</v>
      </c>
      <c r="AE6" s="68">
        <f>sum('BC NGÀY 1'!AE22:AE28)</f>
        <v>0</v>
      </c>
    </row>
    <row r="7">
      <c r="A7" s="66" t="s">
        <v>84</v>
      </c>
      <c r="B7" s="67">
        <v>12.0</v>
      </c>
      <c r="C7" s="68">
        <f>sum('BC NGÀY 1'!C29:C35)</f>
        <v>0</v>
      </c>
      <c r="D7" s="68">
        <f>sum('BC NGÀY 1'!D29:D35)</f>
        <v>1</v>
      </c>
      <c r="E7" s="68">
        <f>sum('BC NGÀY 1'!E29:E35)</f>
        <v>0</v>
      </c>
      <c r="F7" s="68">
        <f>sum('BC NGÀY 1'!F29:F35)</f>
        <v>1</v>
      </c>
      <c r="G7" s="68">
        <f>sum('BC NGÀY 1'!G29:G35)</f>
        <v>20</v>
      </c>
      <c r="H7" s="68">
        <f>sum('BC NGÀY 1'!H29:H35)</f>
        <v>23</v>
      </c>
      <c r="I7" s="68">
        <f>sum('BC NGÀY 1'!I29:I35)</f>
        <v>0</v>
      </c>
      <c r="J7" s="68">
        <f>sum('BC NGÀY 1'!J29:J35)</f>
        <v>289</v>
      </c>
      <c r="K7" s="68">
        <f>sum('BC NGÀY 1'!K29:K35)</f>
        <v>3</v>
      </c>
      <c r="L7" s="68">
        <f>sum('BC NGÀY 1'!L29:L35)</f>
        <v>2</v>
      </c>
      <c r="M7" s="68">
        <f>sum('BC NGÀY 1'!M29:M35)</f>
        <v>88</v>
      </c>
      <c r="N7" s="68">
        <f>sum('BC NGÀY 1'!N29:N35)</f>
        <v>0</v>
      </c>
      <c r="O7" s="68">
        <f>sum('BC NGÀY 1'!O29:O35)</f>
        <v>0</v>
      </c>
      <c r="P7" s="68">
        <f>sum('BC NGÀY 1'!P29:P35)</f>
        <v>0</v>
      </c>
      <c r="Q7" s="68">
        <f>sum('BC NGÀY 1'!Q29:Q35)</f>
        <v>2</v>
      </c>
      <c r="R7" s="68">
        <f>sum('BC NGÀY 1'!R29:R35)</f>
        <v>2100</v>
      </c>
      <c r="S7" s="68">
        <f>sum('BC NGÀY 1'!S29:S35)</f>
        <v>200</v>
      </c>
      <c r="T7" s="68">
        <f>sum('BC NGÀY 1'!T29:T35)</f>
        <v>18</v>
      </c>
      <c r="U7" s="68">
        <f>sum('BC NGÀY 1'!U29:U35)</f>
        <v>910</v>
      </c>
      <c r="V7" s="45">
        <f t="shared" ref="V7:W7" si="5">Q7+T7</f>
        <v>20</v>
      </c>
      <c r="W7" s="45">
        <f t="shared" si="5"/>
        <v>3010</v>
      </c>
      <c r="X7" s="68">
        <f>sum('BC NGÀY 1'!X29:X35)</f>
        <v>36</v>
      </c>
      <c r="Y7" s="68">
        <f>sum('BC NGÀY 1'!Y29:Y35)</f>
        <v>0</v>
      </c>
      <c r="Z7" s="68">
        <f>sum('BC NGÀY 1'!Z29:Z35)</f>
        <v>4</v>
      </c>
      <c r="AA7" s="68">
        <f>sum('BC NGÀY 1'!AA29:AA35)</f>
        <v>4</v>
      </c>
      <c r="AB7" s="68">
        <f>sum('BC NGÀY 1'!AB29:AB35)</f>
        <v>0</v>
      </c>
      <c r="AC7" s="68">
        <f>sum('BC NGÀY 1'!AC29:AC35)</f>
        <v>0</v>
      </c>
      <c r="AD7" s="68">
        <f>sum('BC NGÀY 1'!AD29:AD35)</f>
        <v>0</v>
      </c>
      <c r="AE7" s="68">
        <f>sum('BC NGÀY 1'!AE29:AE35)</f>
        <v>0</v>
      </c>
    </row>
    <row r="8">
      <c r="A8" s="66" t="s">
        <v>85</v>
      </c>
      <c r="B8" s="67">
        <v>12.0</v>
      </c>
      <c r="C8" s="68">
        <f>sum('BC NGÀY 1'!C36:C42)</f>
        <v>0</v>
      </c>
      <c r="D8" s="68">
        <f>sum('BC NGÀY 1'!D36:D42)</f>
        <v>4</v>
      </c>
      <c r="E8" s="68">
        <f>sum('BC NGÀY 1'!E36:E42)</f>
        <v>1</v>
      </c>
      <c r="F8" s="68">
        <f>sum('BC NGÀY 1'!F36:F42)</f>
        <v>0</v>
      </c>
      <c r="G8" s="68">
        <f>sum('BC NGÀY 1'!G36:G42)</f>
        <v>8</v>
      </c>
      <c r="H8" s="68">
        <f>sum('BC NGÀY 1'!H36:H42)</f>
        <v>6</v>
      </c>
      <c r="I8" s="68">
        <f>sum('BC NGÀY 1'!I36:I42)</f>
        <v>0</v>
      </c>
      <c r="J8" s="68">
        <f>sum('BC NGÀY 1'!J36:J42)</f>
        <v>102</v>
      </c>
      <c r="K8" s="68">
        <f>sum('BC NGÀY 1'!K36:K42)</f>
        <v>0</v>
      </c>
      <c r="L8" s="68">
        <f>sum('BC NGÀY 1'!L36:L42)</f>
        <v>0</v>
      </c>
      <c r="M8" s="68">
        <f>sum('BC NGÀY 1'!M36:M42)</f>
        <v>0</v>
      </c>
      <c r="N8" s="68">
        <f>sum('BC NGÀY 1'!N36:N42)</f>
        <v>0</v>
      </c>
      <c r="O8" s="68">
        <f>sum('BC NGÀY 1'!O36:O42)</f>
        <v>0</v>
      </c>
      <c r="P8" s="68">
        <f>sum('BC NGÀY 1'!P36:P42)</f>
        <v>1</v>
      </c>
      <c r="Q8" s="68">
        <f>sum('BC NGÀY 1'!Q36:Q42)</f>
        <v>2</v>
      </c>
      <c r="R8" s="68">
        <f>sum('BC NGÀY 1'!R36:R42)</f>
        <v>400</v>
      </c>
      <c r="S8" s="68">
        <f>sum('BC NGÀY 1'!S36:S42)</f>
        <v>100</v>
      </c>
      <c r="T8" s="68">
        <f>sum('BC NGÀY 1'!T36:T42)</f>
        <v>30</v>
      </c>
      <c r="U8" s="68">
        <f>sum('BC NGÀY 1'!U36:U42)</f>
        <v>1295</v>
      </c>
      <c r="V8" s="45">
        <f t="shared" ref="V8:W8" si="6">Q8+T8</f>
        <v>32</v>
      </c>
      <c r="W8" s="45">
        <f t="shared" si="6"/>
        <v>1695</v>
      </c>
      <c r="X8" s="68">
        <f>sum('BC NGÀY 1'!X36:X42)</f>
        <v>9</v>
      </c>
      <c r="Y8" s="68">
        <f>sum('BC NGÀY 1'!Y36:Y42)</f>
        <v>9</v>
      </c>
      <c r="Z8" s="68">
        <f>sum('BC NGÀY 1'!Z36:Z42)</f>
        <v>8</v>
      </c>
      <c r="AA8" s="68">
        <f>sum('BC NGÀY 1'!AA36:AA42)</f>
        <v>8</v>
      </c>
      <c r="AB8" s="68">
        <f>sum('BC NGÀY 1'!AB36:AB42)</f>
        <v>0</v>
      </c>
      <c r="AC8" s="68">
        <f>sum('BC NGÀY 1'!AC36:AC42)</f>
        <v>0</v>
      </c>
      <c r="AD8" s="68">
        <f>sum('BC NGÀY 1'!AD36:AD42)</f>
        <v>0</v>
      </c>
      <c r="AE8" s="68">
        <f>sum('BC NGÀY 1'!AE36:AE42)</f>
        <v>0</v>
      </c>
    </row>
    <row r="9">
      <c r="A9" s="66" t="s">
        <v>86</v>
      </c>
      <c r="B9" s="67">
        <v>1.0</v>
      </c>
      <c r="C9" s="68">
        <f>sum('BC NGÀY 1'!C43:C49)</f>
        <v>0</v>
      </c>
      <c r="D9" s="68">
        <f>sum('BC NGÀY 1'!D43:D49)</f>
        <v>1</v>
      </c>
      <c r="E9" s="68">
        <f>sum('BC NGÀY 1'!E43:E49)</f>
        <v>0</v>
      </c>
      <c r="F9" s="68">
        <f>sum('BC NGÀY 1'!F43:F49)</f>
        <v>1</v>
      </c>
      <c r="G9" s="68">
        <f>sum('BC NGÀY 1'!G43:G49)</f>
        <v>12</v>
      </c>
      <c r="H9" s="68">
        <f>sum('BC NGÀY 1'!H43:H49)</f>
        <v>7</v>
      </c>
      <c r="I9" s="68">
        <f>sum('BC NGÀY 1'!I43:I49)</f>
        <v>0</v>
      </c>
      <c r="J9" s="68">
        <f>sum('BC NGÀY 1'!J43:J49)</f>
        <v>31</v>
      </c>
      <c r="K9" s="68">
        <f>sum('BC NGÀY 1'!K43:K49)</f>
        <v>0</v>
      </c>
      <c r="L9" s="68">
        <f>sum('BC NGÀY 1'!L43:L49)</f>
        <v>0</v>
      </c>
      <c r="M9" s="68">
        <f>sum('BC NGÀY 1'!M43:M49)</f>
        <v>0</v>
      </c>
      <c r="N9" s="68">
        <f>sum('BC NGÀY 1'!N43:N49)</f>
        <v>0</v>
      </c>
      <c r="O9" s="68">
        <f>sum('BC NGÀY 1'!O43:O49)</f>
        <v>0</v>
      </c>
      <c r="P9" s="68">
        <f>sum('BC NGÀY 1'!P43:P49)</f>
        <v>7</v>
      </c>
      <c r="Q9" s="68">
        <f>sum('BC NGÀY 1'!Q43:Q49)</f>
        <v>15</v>
      </c>
      <c r="R9" s="68">
        <f>sum('BC NGÀY 1'!R43:R49)</f>
        <v>2973</v>
      </c>
      <c r="S9" s="68">
        <f>sum('BC NGÀY 1'!S43:S49)</f>
        <v>5510</v>
      </c>
      <c r="T9" s="68">
        <f>sum('BC NGÀY 1'!T43:T49)</f>
        <v>34</v>
      </c>
      <c r="U9" s="68">
        <f>sum('BC NGÀY 1'!U43:U49)</f>
        <v>1497</v>
      </c>
      <c r="V9" s="45">
        <f t="shared" ref="V9:W9" si="7">Q9+T9</f>
        <v>49</v>
      </c>
      <c r="W9" s="45">
        <f t="shared" si="7"/>
        <v>4470</v>
      </c>
      <c r="X9" s="68">
        <f>sum('BC NGÀY 1'!X43:X49)</f>
        <v>13</v>
      </c>
      <c r="Y9" s="68">
        <f>sum('BC NGÀY 1'!Y43:Y49)</f>
        <v>13</v>
      </c>
      <c r="Z9" s="68">
        <f>sum('BC NGÀY 1'!Z43:Z49)</f>
        <v>6</v>
      </c>
      <c r="AA9" s="68">
        <f>sum('BC NGÀY 1'!AA43:AA49)</f>
        <v>6</v>
      </c>
      <c r="AB9" s="68">
        <f>sum('BC NGÀY 1'!AB43:AB49)</f>
        <v>0</v>
      </c>
      <c r="AC9" s="68">
        <f>sum('BC NGÀY 1'!AC43:AC49)</f>
        <v>0</v>
      </c>
      <c r="AD9" s="68">
        <f>sum('BC NGÀY 1'!AD43:AD49)</f>
        <v>0</v>
      </c>
      <c r="AE9" s="68">
        <f>sum('BC NGÀY 1'!AE43:AE49)</f>
        <v>0</v>
      </c>
    </row>
    <row r="10">
      <c r="A10" s="69" t="s">
        <v>87</v>
      </c>
      <c r="B10" s="69">
        <v>1.0</v>
      </c>
      <c r="C10" s="70">
        <f>sum('BC NGÀY 1'!C50:C56)</f>
        <v>0</v>
      </c>
      <c r="D10" s="70">
        <f>sum('BC NGÀY 1'!D50:D56)</f>
        <v>3</v>
      </c>
      <c r="E10" s="70">
        <f>sum('BC NGÀY 1'!E50:E56)</f>
        <v>1</v>
      </c>
      <c r="F10" s="70">
        <f>sum('BC NGÀY 1'!F50:F56)</f>
        <v>0</v>
      </c>
      <c r="G10" s="70">
        <f>sum('BC NGÀY 1'!G50:G56)</f>
        <v>17</v>
      </c>
      <c r="H10" s="70">
        <f>sum('BC NGÀY 1'!H50:H56)</f>
        <v>7</v>
      </c>
      <c r="I10" s="70">
        <f>sum('BC NGÀY 1'!I50:I56)</f>
        <v>1</v>
      </c>
      <c r="J10" s="70">
        <f>sum('BC NGÀY 1'!J50:J56)</f>
        <v>175</v>
      </c>
      <c r="K10" s="70">
        <f>sum('BC NGÀY 1'!K50:K56)</f>
        <v>1</v>
      </c>
      <c r="L10" s="70">
        <f>sum('BC NGÀY 1'!L50:L56)</f>
        <v>1</v>
      </c>
      <c r="M10" s="70">
        <f>sum('BC NGÀY 1'!M50:M56)</f>
        <v>50</v>
      </c>
      <c r="N10" s="70">
        <f>sum('BC NGÀY 1'!N50:N56)</f>
        <v>0</v>
      </c>
      <c r="O10" s="70">
        <f>sum('BC NGÀY 1'!O50:O56)</f>
        <v>0</v>
      </c>
      <c r="P10" s="70">
        <f>sum('BC NGÀY 1'!P50:P56)</f>
        <v>3</v>
      </c>
      <c r="Q10" s="70">
        <f>sum('BC NGÀY 1'!Q50:Q56)</f>
        <v>3</v>
      </c>
      <c r="R10" s="70">
        <f>sum('BC NGÀY 1'!R50:R56)</f>
        <v>340</v>
      </c>
      <c r="S10" s="70">
        <f>sum('BC NGÀY 1'!S50:S56)</f>
        <v>340</v>
      </c>
      <c r="T10" s="70">
        <f>sum('BC NGÀY 1'!T50:T56)</f>
        <v>18</v>
      </c>
      <c r="U10" s="70">
        <f>sum('BC NGÀY 1'!U50:U56)</f>
        <v>753</v>
      </c>
      <c r="V10" s="45">
        <f t="shared" ref="V10:W10" si="8">Q10+T10</f>
        <v>21</v>
      </c>
      <c r="W10" s="45">
        <f t="shared" si="8"/>
        <v>1093</v>
      </c>
      <c r="X10" s="70">
        <f>sum('BC NGÀY 1'!X50:X56)</f>
        <v>24</v>
      </c>
      <c r="Y10" s="70">
        <f>sum('BC NGÀY 1'!Y50:Y56)</f>
        <v>24</v>
      </c>
      <c r="Z10" s="70">
        <f>sum('BC NGÀY 1'!Z50:Z56)</f>
        <v>0</v>
      </c>
      <c r="AA10" s="70">
        <f>sum('BC NGÀY 1'!AA50:AA56)</f>
        <v>0</v>
      </c>
      <c r="AB10" s="70">
        <f>sum('BC NGÀY 1'!AB50:AB56)</f>
        <v>0</v>
      </c>
      <c r="AC10" s="70">
        <f>sum('BC NGÀY 1'!AC50:AC56)</f>
        <v>0</v>
      </c>
      <c r="AD10" s="70">
        <f>sum('BC NGÀY 1'!AD50:AD56)</f>
        <v>0</v>
      </c>
      <c r="AE10" s="70">
        <f>sum('BC NGÀY 1'!AE50:AE56)</f>
        <v>0</v>
      </c>
    </row>
    <row r="11">
      <c r="A11" s="66" t="s">
        <v>88</v>
      </c>
      <c r="B11" s="67">
        <v>1.0</v>
      </c>
      <c r="C11" s="68">
        <f>sum('BC NGÀY 1'!C57:C63)</f>
        <v>0</v>
      </c>
      <c r="D11" s="68">
        <f>sum('BC NGÀY 1'!D57:D63)</f>
        <v>6</v>
      </c>
      <c r="E11" s="68">
        <f>sum('BC NGÀY 1'!E57:E63)</f>
        <v>0</v>
      </c>
      <c r="F11" s="68">
        <f>sum('BC NGÀY 1'!F57:F63)</f>
        <v>1</v>
      </c>
      <c r="G11" s="68">
        <f>sum('BC NGÀY 1'!G57:G63)</f>
        <v>74</v>
      </c>
      <c r="H11" s="68">
        <f>sum('BC NGÀY 1'!H57:H63)</f>
        <v>28</v>
      </c>
      <c r="I11" s="68">
        <f>sum('BC NGÀY 1'!I57:I63)</f>
        <v>1</v>
      </c>
      <c r="J11" s="68">
        <f>sum('BC NGÀY 1'!J57:J63)</f>
        <v>730</v>
      </c>
      <c r="K11" s="68">
        <f>sum('BC NGÀY 1'!K57:K63)</f>
        <v>3</v>
      </c>
      <c r="L11" s="68">
        <f>sum('BC NGÀY 1'!L57:L63)</f>
        <v>3</v>
      </c>
      <c r="M11" s="68">
        <f>sum('BC NGÀY 1'!M57:M63)</f>
        <v>58</v>
      </c>
      <c r="N11" s="68">
        <f>sum('BC NGÀY 1'!N57:N63)</f>
        <v>0</v>
      </c>
      <c r="O11" s="68">
        <f>sum('BC NGÀY 1'!O57:O63)</f>
        <v>0</v>
      </c>
      <c r="P11" s="68">
        <f>sum('BC NGÀY 1'!P57:P63)</f>
        <v>0</v>
      </c>
      <c r="Q11" s="68">
        <f>sum('BC NGÀY 1'!Q57:Q63)</f>
        <v>2</v>
      </c>
      <c r="R11" s="68">
        <f>sum('BC NGÀY 1'!R57:R63)</f>
        <v>250</v>
      </c>
      <c r="S11" s="68">
        <f>sum('BC NGÀY 1'!S57:S63)</f>
        <v>250</v>
      </c>
      <c r="T11" s="68">
        <f>sum('BC NGÀY 1'!T57:T63)</f>
        <v>15</v>
      </c>
      <c r="U11" s="68">
        <f>sum('BC NGÀY 1'!U57:U63)</f>
        <v>474</v>
      </c>
      <c r="V11" s="68">
        <f>sum('BC NGÀY 1'!V57:V63)</f>
        <v>17</v>
      </c>
      <c r="W11" s="68">
        <f>sum('BC NGÀY 1'!W57:W63)</f>
        <v>724</v>
      </c>
      <c r="X11" s="68">
        <f>sum('BC NGÀY 1'!X57:X63)</f>
        <v>101</v>
      </c>
      <c r="Y11" s="68">
        <f>sum('BC NGÀY 1'!Y57:Y63)</f>
        <v>101</v>
      </c>
      <c r="Z11" s="68">
        <f>sum('BC NGÀY 1'!Z57:Z63)</f>
        <v>1</v>
      </c>
      <c r="AA11" s="68">
        <f>sum('BC NGÀY 1'!AA57:AA63)</f>
        <v>1</v>
      </c>
      <c r="AB11" s="68">
        <f>sum('BC NGÀY 1'!AB57:AB63)</f>
        <v>0</v>
      </c>
      <c r="AC11" s="68">
        <f>sum('BC NGÀY 1'!AC57:AC63)</f>
        <v>0</v>
      </c>
      <c r="AD11" s="68">
        <f>sum('BC NGÀY 1'!AD57:AD63)</f>
        <v>0</v>
      </c>
      <c r="AE11" s="68">
        <f>sum('BC NGÀY 1'!AE57:AE63)</f>
        <v>0</v>
      </c>
    </row>
    <row r="12">
      <c r="A12" s="66" t="s">
        <v>89</v>
      </c>
      <c r="B12" s="67">
        <v>1.0</v>
      </c>
      <c r="C12" s="68">
        <f>sum('BC NGÀY 1'!C64:C70)</f>
        <v>1</v>
      </c>
      <c r="D12" s="68">
        <f>sum('BC NGÀY 1'!D64:D70)</f>
        <v>4</v>
      </c>
      <c r="E12" s="68">
        <f>sum('BC NGÀY 1'!E64:E70)</f>
        <v>0</v>
      </c>
      <c r="F12" s="68">
        <f>sum('BC NGÀY 1'!F64:F70)</f>
        <v>1</v>
      </c>
      <c r="G12" s="68">
        <f>sum('BC NGÀY 1'!G64:G70)</f>
        <v>70</v>
      </c>
      <c r="H12" s="68">
        <f>sum('BC NGÀY 1'!H64:H70)</f>
        <v>16</v>
      </c>
      <c r="I12" s="68">
        <f>sum('BC NGÀY 1'!I64:I70)</f>
        <v>0</v>
      </c>
      <c r="J12" s="68">
        <f>sum('BC NGÀY 1'!J64:J70)</f>
        <v>625</v>
      </c>
      <c r="K12" s="68">
        <f>sum('BC NGÀY 1'!K64:K70)</f>
        <v>1</v>
      </c>
      <c r="L12" s="68">
        <f>sum('BC NGÀY 1'!L64:L70)</f>
        <v>1</v>
      </c>
      <c r="M12" s="68">
        <f>sum('BC NGÀY 1'!M64:M70)</f>
        <v>4</v>
      </c>
      <c r="N12" s="68">
        <f>sum('BC NGÀY 1'!N64:N70)</f>
        <v>0</v>
      </c>
      <c r="O12" s="68">
        <f>sum('BC NGÀY 1'!O64:O70)</f>
        <v>0</v>
      </c>
      <c r="P12" s="68">
        <f>sum('BC NGÀY 1'!P64:P70)</f>
        <v>1</v>
      </c>
      <c r="Q12" s="68">
        <f>sum('BC NGÀY 1'!Q64:Q70)</f>
        <v>5</v>
      </c>
      <c r="R12" s="68">
        <f>sum('BC NGÀY 1'!R64:R70)</f>
        <v>1786</v>
      </c>
      <c r="S12" s="68">
        <f>sum('BC NGÀY 1'!S64:S70)</f>
        <v>1786</v>
      </c>
      <c r="T12" s="68">
        <f>sum('BC NGÀY 1'!T64:T70)</f>
        <v>23</v>
      </c>
      <c r="U12" s="68">
        <f>sum('BC NGÀY 1'!U64:U70)</f>
        <v>871</v>
      </c>
      <c r="V12" s="68">
        <f>sum('BC NGÀY 1'!V64:V70)</f>
        <v>28</v>
      </c>
      <c r="W12" s="68">
        <f>sum('BC NGÀY 1'!W64:W70)</f>
        <v>2657</v>
      </c>
      <c r="X12" s="68">
        <f>sum('BC NGÀY 1'!X64:X70)</f>
        <v>86</v>
      </c>
      <c r="Y12" s="68">
        <f>sum('BC NGÀY 1'!Y64:Y70)</f>
        <v>86</v>
      </c>
      <c r="Z12" s="68">
        <f>sum('BC NGÀY 1'!Z64:Z70)</f>
        <v>7</v>
      </c>
      <c r="AA12" s="68">
        <f>sum('BC NGÀY 1'!AA64:AA70)</f>
        <v>7</v>
      </c>
      <c r="AB12" s="68">
        <f>sum('BC NGÀY 1'!AB64:AB70)</f>
        <v>0</v>
      </c>
      <c r="AC12" s="68">
        <f>sum('BC NGÀY 1'!AC64:AC70)</f>
        <v>0</v>
      </c>
      <c r="AD12" s="68">
        <f>sum('BC NGÀY 1'!AD64:AD70)</f>
        <v>0</v>
      </c>
      <c r="AE12" s="68">
        <f>sum('BC NGÀY 1'!AE64:AE70)</f>
        <v>0</v>
      </c>
    </row>
    <row r="13">
      <c r="A13" s="66" t="s">
        <v>90</v>
      </c>
      <c r="B13" s="71">
        <v>1.0</v>
      </c>
      <c r="C13" s="68">
        <f>sum('BC NGÀY 1'!C71:C77)</f>
        <v>0</v>
      </c>
      <c r="D13" s="68">
        <f>sum('BC NGÀY 1'!D71:D77)</f>
        <v>11</v>
      </c>
      <c r="E13" s="68">
        <f>sum('BC NGÀY 1'!E71:E77)</f>
        <v>0</v>
      </c>
      <c r="F13" s="68">
        <f>sum('BC NGÀY 1'!F71:F77)</f>
        <v>0</v>
      </c>
      <c r="G13" s="68">
        <f>sum('BC NGÀY 1'!G71:G77)</f>
        <v>28</v>
      </c>
      <c r="H13" s="68">
        <f>sum('BC NGÀY 1'!H71:H77)</f>
        <v>9</v>
      </c>
      <c r="I13" s="68">
        <f>sum('BC NGÀY 1'!I71:I77)</f>
        <v>0</v>
      </c>
      <c r="J13" s="68">
        <f>sum('BC NGÀY 1'!J71:J77)</f>
        <v>269</v>
      </c>
      <c r="K13" s="68">
        <f>sum('BC NGÀY 1'!K71:K77)</f>
        <v>2</v>
      </c>
      <c r="L13" s="68">
        <f>sum('BC NGÀY 1'!L71:L77)</f>
        <v>2</v>
      </c>
      <c r="M13" s="68">
        <f>sum('BC NGÀY 1'!M71:M77)</f>
        <v>14</v>
      </c>
      <c r="N13" s="68">
        <f>sum('BC NGÀY 1'!N71:N77)</f>
        <v>0</v>
      </c>
      <c r="O13" s="68">
        <f>sum('BC NGÀY 1'!O71:O77)</f>
        <v>0</v>
      </c>
      <c r="P13" s="68">
        <f>sum('BC NGÀY 1'!P71:P77)</f>
        <v>1</v>
      </c>
      <c r="Q13" s="68">
        <f>sum('BC NGÀY 1'!Q71:Q77)</f>
        <v>2</v>
      </c>
      <c r="R13" s="68">
        <f>sum('BC NGÀY 1'!R71:R77)</f>
        <v>1450</v>
      </c>
      <c r="S13" s="68">
        <f>sum('BC NGÀY 1'!S71:S77)</f>
        <v>1450</v>
      </c>
      <c r="T13" s="68">
        <f>sum('BC NGÀY 1'!T71:T77)</f>
        <v>19</v>
      </c>
      <c r="U13" s="68">
        <f>sum('BC NGÀY 1'!U71:U77)</f>
        <v>913</v>
      </c>
      <c r="V13" s="68">
        <f>sum('BC NGÀY 1'!V71:V77)</f>
        <v>21</v>
      </c>
      <c r="W13" s="68">
        <f>sum('BC NGÀY 1'!W71:W77)</f>
        <v>2363</v>
      </c>
      <c r="X13" s="68">
        <f>sum('BC NGÀY 1'!X71:X77)</f>
        <v>37</v>
      </c>
      <c r="Y13" s="68">
        <f>sum('BC NGÀY 1'!Y71:Y77)</f>
        <v>37</v>
      </c>
      <c r="Z13" s="68">
        <f>sum('BC NGÀY 1'!Z71:Z77)</f>
        <v>7</v>
      </c>
      <c r="AA13" s="68">
        <f>sum('BC NGÀY 1'!AA71:AA77)</f>
        <v>7</v>
      </c>
      <c r="AB13" s="68">
        <f>sum('BC NGÀY 1'!AB71:AB77)</f>
        <v>0</v>
      </c>
      <c r="AC13" s="68">
        <f>sum('BC NGÀY 1'!AC71:AC77)</f>
        <v>0</v>
      </c>
      <c r="AD13" s="68">
        <f>sum('BC NGÀY 1'!AD71:AD77)</f>
        <v>0</v>
      </c>
      <c r="AE13" s="68">
        <f>sum('BC NGÀY 1'!AE71:AE77)</f>
        <v>0</v>
      </c>
    </row>
    <row r="14">
      <c r="A14" s="66" t="s">
        <v>91</v>
      </c>
      <c r="B14" s="72">
        <v>46054.0</v>
      </c>
      <c r="C14" s="68">
        <f>sum('BC NGÀY 1'!C78:C84)</f>
        <v>1</v>
      </c>
      <c r="D14" s="68">
        <f>sum('BC NGÀY 1'!D78:D84)</f>
        <v>14</v>
      </c>
      <c r="E14" s="68">
        <f>sum('BC NGÀY 1'!E78:E84)</f>
        <v>1</v>
      </c>
      <c r="F14" s="68">
        <f>sum('BC NGÀY 1'!F78:F84)</f>
        <v>0</v>
      </c>
      <c r="G14" s="68">
        <f>sum('BC NGÀY 1'!G78:G84)</f>
        <v>51</v>
      </c>
      <c r="H14" s="68">
        <f>sum('BC NGÀY 1'!H78:H84)</f>
        <v>25</v>
      </c>
      <c r="I14" s="68">
        <f>sum('BC NGÀY 1'!I78:I84)</f>
        <v>1</v>
      </c>
      <c r="J14" s="68">
        <f>sum('BC NGÀY 1'!J78:J84)</f>
        <v>602</v>
      </c>
      <c r="K14" s="68">
        <f>sum('BC NGÀY 1'!K78:K84)</f>
        <v>3</v>
      </c>
      <c r="L14" s="68">
        <f>sum('BC NGÀY 1'!L78:L84)</f>
        <v>3</v>
      </c>
      <c r="M14" s="68">
        <f>sum('BC NGÀY 1'!M78:M84)</f>
        <v>33</v>
      </c>
      <c r="N14" s="68">
        <f>sum('BC NGÀY 1'!N78:N84)</f>
        <v>0</v>
      </c>
      <c r="O14" s="68">
        <f>sum('BC NGÀY 1'!O78:O84)</f>
        <v>0</v>
      </c>
      <c r="P14" s="68">
        <f>sum('BC NGÀY 1'!P78:P84)</f>
        <v>0</v>
      </c>
      <c r="Q14" s="68">
        <f>sum('BC NGÀY 1'!Q78:Q84)</f>
        <v>0</v>
      </c>
      <c r="R14" s="68">
        <f>sum('BC NGÀY 1'!R78:R84)</f>
        <v>0</v>
      </c>
      <c r="S14" s="68">
        <f>sum('BC NGÀY 1'!S78:S84)</f>
        <v>0</v>
      </c>
      <c r="T14" s="68">
        <f>sum('BC NGÀY 1'!T78:T84)</f>
        <v>12</v>
      </c>
      <c r="U14" s="68">
        <f>sum('BC NGÀY 1'!U78:U84)</f>
        <v>759</v>
      </c>
      <c r="V14" s="68">
        <f>sum('BC NGÀY 1'!V78:V84)</f>
        <v>12</v>
      </c>
      <c r="W14" s="68">
        <f>sum('BC NGÀY 1'!W78:W84)</f>
        <v>759</v>
      </c>
      <c r="X14" s="68">
        <f>sum('BC NGÀY 1'!X78:X84)</f>
        <v>75</v>
      </c>
      <c r="Y14" s="68">
        <f>sum('BC NGÀY 1'!Y78:Y84)</f>
        <v>75</v>
      </c>
      <c r="Z14" s="68">
        <f>sum('BC NGÀY 1'!Z78:Z84)</f>
        <v>5</v>
      </c>
      <c r="AA14" s="68">
        <f>sum('BC NGÀY 1'!AA78:AA84)</f>
        <v>5</v>
      </c>
      <c r="AB14" s="68">
        <f>sum('BC NGÀY 1'!AB78:AB84)</f>
        <v>0</v>
      </c>
      <c r="AC14" s="68">
        <f>sum('BC NGÀY 1'!AC78:AC84)</f>
        <v>0</v>
      </c>
      <c r="AD14" s="68">
        <f>sum('BC NGÀY 1'!AD78:AD84)</f>
        <v>0</v>
      </c>
      <c r="AE14" s="68">
        <f>sum('BC NGÀY 1'!AE78:AE84)</f>
        <v>0</v>
      </c>
    </row>
    <row r="15">
      <c r="A15" s="66" t="s">
        <v>92</v>
      </c>
      <c r="B15" s="71">
        <v>2.0</v>
      </c>
      <c r="C15" s="68">
        <f>sum('BC NGÀY 1'!C85:C91)</f>
        <v>0</v>
      </c>
      <c r="D15" s="68">
        <f>sum('BC NGÀY 1'!D85:D91)</f>
        <v>10</v>
      </c>
      <c r="E15" s="68">
        <f>sum('BC NGÀY 1'!E85:E91)</f>
        <v>0</v>
      </c>
      <c r="F15" s="68">
        <f>sum('BC NGÀY 1'!F85:F91)</f>
        <v>0</v>
      </c>
      <c r="G15" s="68">
        <f>sum('BC NGÀY 1'!G85:G91)</f>
        <v>56</v>
      </c>
      <c r="H15" s="68">
        <f>sum('BC NGÀY 1'!H85:H91)</f>
        <v>23</v>
      </c>
      <c r="I15" s="68">
        <f>sum('BC NGÀY 1'!I85:I91)</f>
        <v>3</v>
      </c>
      <c r="J15" s="68">
        <f>sum('BC NGÀY 1'!J85:J91)</f>
        <v>500</v>
      </c>
      <c r="K15" s="68">
        <f>sum('BC NGÀY 1'!K85:K91)</f>
        <v>5</v>
      </c>
      <c r="L15" s="68">
        <f>sum('BC NGÀY 1'!L85:L91)</f>
        <v>5</v>
      </c>
      <c r="M15" s="68">
        <f>sum('BC NGÀY 1'!M85:M91)</f>
        <v>119</v>
      </c>
      <c r="N15" s="68">
        <f>sum('BC NGÀY 1'!N85:N91)</f>
        <v>0</v>
      </c>
      <c r="O15" s="68">
        <f>sum('BC NGÀY 1'!O85:O91)</f>
        <v>0</v>
      </c>
      <c r="P15" s="68">
        <f>sum('BC NGÀY 1'!P85:P91)</f>
        <v>4</v>
      </c>
      <c r="Q15" s="68">
        <f>sum('BC NGÀY 1'!Q85:Q91)</f>
        <v>4</v>
      </c>
      <c r="R15" s="68">
        <f>sum('BC NGÀY 1'!R85:R91)</f>
        <v>2465</v>
      </c>
      <c r="S15" s="68">
        <f>sum('BC NGÀY 1'!S85:S91)</f>
        <v>2465</v>
      </c>
      <c r="T15" s="68">
        <f>sum('BC NGÀY 1'!T85:T91)</f>
        <v>3</v>
      </c>
      <c r="U15" s="68">
        <f>sum('BC NGÀY 1'!U85:U91)</f>
        <v>205</v>
      </c>
      <c r="V15" s="68">
        <f>sum('BC NGÀY 1'!V85:V91)</f>
        <v>7</v>
      </c>
      <c r="W15" s="68">
        <f>sum('BC NGÀY 1'!W85:W91)</f>
        <v>2670</v>
      </c>
      <c r="X15" s="68">
        <f>sum('BC NGÀY 1'!X85:X91)</f>
        <v>76</v>
      </c>
      <c r="Y15" s="68">
        <f>sum('BC NGÀY 1'!Y85:Y91)</f>
        <v>76</v>
      </c>
      <c r="Z15" s="68">
        <f>sum('BC NGÀY 1'!Z85:Z91)</f>
        <v>5</v>
      </c>
      <c r="AA15" s="68">
        <f>sum('BC NGÀY 1'!AA85:AA91)</f>
        <v>5</v>
      </c>
      <c r="AB15" s="68">
        <f>sum('BC NGÀY 1'!AB85:AB91)</f>
        <v>0</v>
      </c>
      <c r="AC15" s="68">
        <f>sum('BC NGÀY 1'!AC85:AC91)</f>
        <v>0</v>
      </c>
      <c r="AD15" s="68">
        <f>sum('BC NGÀY 1'!AD85:AD91)</f>
        <v>0</v>
      </c>
      <c r="AE15" s="68">
        <f>sum('BC NGÀY 1'!AE85:AE91)</f>
        <v>0</v>
      </c>
    </row>
    <row r="16">
      <c r="A16" s="66" t="s">
        <v>93</v>
      </c>
      <c r="B16" s="71">
        <v>2.0</v>
      </c>
      <c r="C16" s="68">
        <f>sum('BC NGÀY 1'!C92:C98)</f>
        <v>0</v>
      </c>
      <c r="D16" s="68">
        <f>sum('BC NGÀY 1'!D92:D98)</f>
        <v>5</v>
      </c>
      <c r="E16" s="68">
        <f>sum('BC NGÀY 1'!E92:E98)</f>
        <v>0</v>
      </c>
      <c r="F16" s="68">
        <f>sum('BC NGÀY 1'!F92:F98)</f>
        <v>0</v>
      </c>
      <c r="G16" s="68">
        <f>sum('BC NGÀY 1'!G92:G98)</f>
        <v>1</v>
      </c>
      <c r="H16" s="68">
        <f>sum('BC NGÀY 1'!H92:H98)</f>
        <v>2</v>
      </c>
      <c r="I16" s="68">
        <f>sum('BC NGÀY 1'!I92:I98)</f>
        <v>0</v>
      </c>
      <c r="J16" s="68">
        <f>sum('BC NGÀY 1'!J92:J98)</f>
        <v>16</v>
      </c>
      <c r="K16" s="68">
        <f>sum('BC NGÀY 1'!K92:K98)</f>
        <v>0</v>
      </c>
      <c r="L16" s="68">
        <f>sum('BC NGÀY 1'!L92:L98)</f>
        <v>0</v>
      </c>
      <c r="M16" s="68">
        <f>sum('BC NGÀY 1'!M92:M98)</f>
        <v>0</v>
      </c>
      <c r="N16" s="68">
        <f>sum('BC NGÀY 1'!N92:N98)</f>
        <v>0</v>
      </c>
      <c r="O16" s="68">
        <f>sum('BC NGÀY 1'!O92:O98)</f>
        <v>0</v>
      </c>
      <c r="P16" s="68">
        <f>sum('BC NGÀY 1'!P92:P98)</f>
        <v>1</v>
      </c>
      <c r="Q16" s="68">
        <f>sum('BC NGÀY 1'!Q92:Q98)</f>
        <v>3</v>
      </c>
      <c r="R16" s="68">
        <f>sum('BC NGÀY 1'!R92:R98)</f>
        <v>472</v>
      </c>
      <c r="S16" s="68">
        <f>sum('BC NGÀY 1'!S92:S98)</f>
        <v>472</v>
      </c>
      <c r="T16" s="68">
        <f>sum('BC NGÀY 1'!T92:T98)</f>
        <v>0</v>
      </c>
      <c r="U16" s="68">
        <f>sum('BC NGÀY 1'!U92:U98)</f>
        <v>0</v>
      </c>
      <c r="V16" s="68">
        <f>sum('BC NGÀY 1'!V92:V98)</f>
        <v>3</v>
      </c>
      <c r="W16" s="68">
        <f>sum('BC NGÀY 1'!W92:W98)</f>
        <v>472</v>
      </c>
      <c r="X16" s="68">
        <f>sum('BC NGÀY 1'!X92:X98)</f>
        <v>3</v>
      </c>
      <c r="Y16" s="68">
        <f>sum('BC NGÀY 1'!Y92:Y98)</f>
        <v>3</v>
      </c>
      <c r="Z16" s="68">
        <f>sum('BC NGÀY 1'!Z92:Z98)</f>
        <v>0</v>
      </c>
      <c r="AA16" s="68">
        <f>sum('BC NGÀY 1'!AA92:AA98)</f>
        <v>0</v>
      </c>
      <c r="AB16" s="68">
        <f>sum('BC NGÀY 1'!AB92:AB98)</f>
        <v>0</v>
      </c>
      <c r="AC16" s="68">
        <f>sum('BC NGÀY 1'!AC92:AC98)</f>
        <v>0</v>
      </c>
      <c r="AD16" s="68">
        <f>sum('BC NGÀY 1'!AD92:AD98)</f>
        <v>0</v>
      </c>
      <c r="AE16" s="68">
        <f>sum('BC NGÀY 1'!AE92:AE98)</f>
        <v>0</v>
      </c>
    </row>
    <row r="17">
      <c r="A17" s="66" t="s">
        <v>94</v>
      </c>
      <c r="B17" s="71">
        <v>2.0</v>
      </c>
      <c r="C17" s="68">
        <f>sum('BC NGÀY 1'!C99:C105)</f>
        <v>1</v>
      </c>
      <c r="D17" s="68">
        <f>sum('BC NGÀY 1'!D99:D105)</f>
        <v>4</v>
      </c>
      <c r="E17" s="68">
        <f>sum('BC NGÀY 1'!E99:E105)</f>
        <v>0</v>
      </c>
      <c r="F17" s="68">
        <f>sum('BC NGÀY 1'!F99:F105)</f>
        <v>0</v>
      </c>
      <c r="G17" s="68">
        <f>sum('BC NGÀY 1'!G99:G105)</f>
        <v>0</v>
      </c>
      <c r="H17" s="68">
        <f>sum('BC NGÀY 1'!H99:H105)</f>
        <v>2</v>
      </c>
      <c r="I17" s="68">
        <f>sum('BC NGÀY 1'!I99:I105)</f>
        <v>0</v>
      </c>
      <c r="J17" s="68">
        <f>sum('BC NGÀY 1'!J99:J105)</f>
        <v>8</v>
      </c>
      <c r="K17" s="68">
        <f>sum('BC NGÀY 1'!K99:K105)</f>
        <v>0</v>
      </c>
      <c r="L17" s="68">
        <f>sum('BC NGÀY 1'!L99:L105)</f>
        <v>0</v>
      </c>
      <c r="M17" s="68">
        <f>sum('BC NGÀY 1'!M99:M105)</f>
        <v>0</v>
      </c>
      <c r="N17" s="68">
        <f>sum('BC NGÀY 1'!N99:N105)</f>
        <v>0</v>
      </c>
      <c r="O17" s="68">
        <f>sum('BC NGÀY 1'!O99:O105)</f>
        <v>0</v>
      </c>
      <c r="P17" s="68">
        <f>sum('BC NGÀY 1'!P99:P105)</f>
        <v>0</v>
      </c>
      <c r="Q17" s="68">
        <f>sum('BC NGÀY 1'!Q99:Q105)</f>
        <v>0</v>
      </c>
      <c r="R17" s="68">
        <f>sum('BC NGÀY 1'!R99:R105)</f>
        <v>0</v>
      </c>
      <c r="S17" s="68">
        <f>sum('BC NGÀY 1'!S99:S105)</f>
        <v>0</v>
      </c>
      <c r="T17" s="68">
        <f>sum('BC NGÀY 1'!T99:T105)</f>
        <v>0</v>
      </c>
      <c r="U17" s="68">
        <f>sum('BC NGÀY 1'!U99:U105)</f>
        <v>0</v>
      </c>
      <c r="V17" s="68">
        <f>sum('BC NGÀY 1'!V99:V105)</f>
        <v>0</v>
      </c>
      <c r="W17" s="68">
        <f>sum('BC NGÀY 1'!W99:W105)</f>
        <v>0</v>
      </c>
      <c r="X17" s="68">
        <f>sum('BC NGÀY 1'!X99:X105)</f>
        <v>0</v>
      </c>
      <c r="Y17" s="68">
        <f>sum('BC NGÀY 1'!Y99:Y105)</f>
        <v>0</v>
      </c>
      <c r="Z17" s="68">
        <f>sum('BC NGÀY 1'!Z99:Z105)</f>
        <v>0</v>
      </c>
      <c r="AA17" s="68">
        <f>sum('BC NGÀY 1'!AA99:AA105)</f>
        <v>0</v>
      </c>
      <c r="AB17" s="68">
        <f>sum('BC NGÀY 1'!AB99:AB105)</f>
        <v>0</v>
      </c>
      <c r="AC17" s="68">
        <f>sum('BC NGÀY 1'!AC99:AC105)</f>
        <v>0</v>
      </c>
      <c r="AD17" s="68">
        <f>sum('BC NGÀY 1'!AD99:AD105)</f>
        <v>0</v>
      </c>
      <c r="AE17" s="68">
        <f>sum('BC NGÀY 1'!AE99:AE105)</f>
        <v>0</v>
      </c>
    </row>
    <row r="18">
      <c r="A18" s="73"/>
      <c r="B18" s="74"/>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row>
    <row r="19">
      <c r="A19" s="73"/>
      <c r="B19" s="74"/>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row>
    <row r="20">
      <c r="A20" s="73"/>
      <c r="B20" s="74"/>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row>
    <row r="21">
      <c r="A21" s="73"/>
      <c r="B21" s="74"/>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row>
    <row r="22">
      <c r="A22" s="73"/>
      <c r="B22" s="74"/>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row>
    <row r="23">
      <c r="A23" s="73"/>
      <c r="B23" s="74"/>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row>
    <row r="24">
      <c r="A24" s="73"/>
      <c r="B24" s="74"/>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row>
    <row r="25">
      <c r="A25" s="73"/>
      <c r="B25" s="74"/>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row>
    <row r="26">
      <c r="A26" s="73"/>
      <c r="B26" s="74"/>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row>
    <row r="27">
      <c r="A27" s="73"/>
      <c r="B27" s="74"/>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row>
    <row r="28">
      <c r="A28" s="73"/>
      <c r="B28" s="74"/>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row>
    <row r="29">
      <c r="A29" s="73"/>
      <c r="B29" s="74"/>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row>
    <row r="30">
      <c r="A30" s="73"/>
      <c r="B30" s="74"/>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row>
    <row r="31">
      <c r="A31" s="73"/>
      <c r="B31" s="74"/>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row>
    <row r="32">
      <c r="A32" s="73"/>
      <c r="B32" s="74"/>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row>
    <row r="33">
      <c r="A33" s="73"/>
      <c r="B33" s="74"/>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row>
    <row r="34">
      <c r="A34" s="73"/>
      <c r="B34" s="74"/>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row>
    <row r="35">
      <c r="A35" s="73"/>
      <c r="B35" s="74"/>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row>
    <row r="36">
      <c r="A36" s="73"/>
      <c r="B36" s="74"/>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row>
    <row r="37">
      <c r="A37" s="73"/>
      <c r="B37" s="74"/>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row>
    <row r="38">
      <c r="A38" s="73"/>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row>
    <row r="39">
      <c r="A39" s="73"/>
      <c r="B39" s="74"/>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row>
    <row r="40">
      <c r="A40" s="73"/>
      <c r="B40" s="74"/>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row>
    <row r="41">
      <c r="A41" s="73"/>
      <c r="B41" s="74"/>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row>
    <row r="42">
      <c r="A42" s="73"/>
      <c r="B42" s="74"/>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row>
    <row r="43">
      <c r="A43" s="73"/>
      <c r="B43" s="74"/>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row>
    <row r="44">
      <c r="A44" s="73"/>
      <c r="B44" s="74"/>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row>
    <row r="45">
      <c r="A45" s="73"/>
      <c r="B45" s="74"/>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row>
    <row r="46">
      <c r="A46" s="73"/>
      <c r="B46" s="74"/>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row>
    <row r="47">
      <c r="A47" s="73"/>
      <c r="B47" s="74"/>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row>
    <row r="48">
      <c r="A48" s="73"/>
      <c r="B48" s="74"/>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row>
    <row r="49">
      <c r="A49" s="73"/>
      <c r="B49" s="74"/>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row>
    <row r="50">
      <c r="A50" s="73"/>
      <c r="B50" s="74"/>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row>
    <row r="51">
      <c r="A51" s="73"/>
      <c r="B51" s="74"/>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row>
    <row r="52">
      <c r="A52" s="73"/>
      <c r="B52" s="74"/>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row>
    <row r="53">
      <c r="A53" s="73"/>
      <c r="B53" s="74"/>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row>
    <row r="54">
      <c r="A54" s="73"/>
      <c r="B54" s="74"/>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row>
    <row r="55">
      <c r="A55" s="73"/>
      <c r="B55" s="74"/>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row>
    <row r="56">
      <c r="A56" s="73"/>
      <c r="B56" s="74"/>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row>
    <row r="57">
      <c r="A57" s="73"/>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row>
    <row r="58">
      <c r="A58" s="73"/>
      <c r="B58" s="74"/>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row>
    <row r="59">
      <c r="A59" s="73"/>
      <c r="B59" s="74"/>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row>
    <row r="60">
      <c r="A60" s="73"/>
      <c r="B60" s="74"/>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row>
    <row r="61">
      <c r="A61" s="73"/>
      <c r="B61" s="74"/>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row>
    <row r="62">
      <c r="A62" s="73"/>
      <c r="B62" s="74"/>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row>
    <row r="63">
      <c r="A63" s="73"/>
      <c r="B63" s="74"/>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row>
    <row r="64">
      <c r="A64" s="73"/>
      <c r="B64" s="74"/>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row>
    <row r="65">
      <c r="A65" s="73"/>
      <c r="B65" s="74"/>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row>
    <row r="66">
      <c r="A66" s="73"/>
      <c r="B66" s="74"/>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row>
    <row r="67">
      <c r="A67" s="73"/>
      <c r="B67" s="74"/>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row>
    <row r="68">
      <c r="A68" s="73"/>
      <c r="B68" s="74"/>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row>
    <row r="69">
      <c r="A69" s="73"/>
      <c r="B69" s="74"/>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row>
    <row r="70">
      <c r="A70" s="73"/>
      <c r="B70" s="74"/>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row>
    <row r="71">
      <c r="A71" s="73"/>
      <c r="B71" s="74"/>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row>
    <row r="72">
      <c r="A72" s="73"/>
      <c r="B72" s="74"/>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row>
    <row r="73">
      <c r="A73" s="73"/>
      <c r="B73" s="74"/>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row>
    <row r="74">
      <c r="A74" s="73"/>
      <c r="B74" s="74"/>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row>
    <row r="75">
      <c r="A75" s="73"/>
      <c r="B75" s="74"/>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row>
    <row r="76">
      <c r="A76" s="73"/>
      <c r="B76" s="74"/>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row>
    <row r="77">
      <c r="A77" s="73"/>
      <c r="B77" s="74"/>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row>
    <row r="78">
      <c r="A78" s="73"/>
      <c r="B78" s="74"/>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row>
    <row r="79">
      <c r="A79" s="73"/>
      <c r="B79" s="74"/>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row>
    <row r="80">
      <c r="A80" s="73"/>
      <c r="B80" s="74"/>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row>
    <row r="81">
      <c r="A81" s="73"/>
      <c r="B81" s="74"/>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row>
    <row r="82">
      <c r="A82" s="73"/>
      <c r="B82" s="74"/>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row>
    <row r="83">
      <c r="A83" s="73"/>
      <c r="B83" s="74"/>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row>
    <row r="84">
      <c r="A84" s="73"/>
      <c r="B84" s="74"/>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row>
    <row r="85">
      <c r="A85" s="73"/>
      <c r="B85" s="74"/>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row>
    <row r="86">
      <c r="A86" s="73"/>
      <c r="B86" s="74"/>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row>
    <row r="87">
      <c r="A87" s="73"/>
      <c r="B87" s="74"/>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row>
    <row r="88">
      <c r="A88" s="73"/>
      <c r="B88" s="74"/>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row>
    <row r="89">
      <c r="A89" s="73"/>
      <c r="B89" s="74"/>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row>
    <row r="90">
      <c r="A90" s="73"/>
      <c r="B90" s="74"/>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row>
    <row r="91">
      <c r="A91" s="73"/>
      <c r="B91" s="74"/>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row>
    <row r="92">
      <c r="A92" s="73"/>
      <c r="B92" s="74"/>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row>
    <row r="93">
      <c r="A93" s="73"/>
      <c r="B93" s="74"/>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row>
    <row r="94">
      <c r="A94" s="73"/>
      <c r="B94" s="74"/>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row>
    <row r="95">
      <c r="A95" s="73"/>
      <c r="B95" s="74"/>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row>
    <row r="96">
      <c r="A96" s="73"/>
      <c r="B96" s="74"/>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row>
    <row r="97">
      <c r="A97" s="73"/>
      <c r="B97" s="74"/>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row>
    <row r="98">
      <c r="A98" s="73"/>
      <c r="B98" s="74"/>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row>
    <row r="99">
      <c r="A99" s="73"/>
      <c r="B99" s="74"/>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row>
    <row r="100">
      <c r="A100" s="73"/>
      <c r="B100" s="74"/>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row>
    <row r="101">
      <c r="A101" s="73"/>
      <c r="B101" s="74"/>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row>
    <row r="102">
      <c r="A102" s="73"/>
      <c r="B102" s="74"/>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row>
    <row r="103">
      <c r="A103" s="73"/>
      <c r="B103" s="74"/>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row>
    <row r="104">
      <c r="A104" s="73"/>
      <c r="B104" s="74"/>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row>
    <row r="105">
      <c r="A105" s="73"/>
      <c r="B105" s="74"/>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row>
    <row r="106">
      <c r="A106" s="73"/>
      <c r="B106" s="74"/>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row>
    <row r="107">
      <c r="A107" s="73"/>
      <c r="B107" s="74"/>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row>
    <row r="108">
      <c r="A108" s="73"/>
      <c r="B108" s="74"/>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row>
    <row r="109">
      <c r="A109" s="73"/>
      <c r="B109" s="74"/>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row>
    <row r="110">
      <c r="A110" s="73"/>
      <c r="B110" s="74"/>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row>
    <row r="111">
      <c r="A111" s="73"/>
      <c r="B111" s="74"/>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row>
    <row r="112">
      <c r="A112" s="73"/>
      <c r="B112" s="74"/>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row>
    <row r="113">
      <c r="A113" s="73"/>
      <c r="B113" s="74"/>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row>
    <row r="114">
      <c r="A114" s="73"/>
      <c r="B114" s="74"/>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row>
    <row r="115">
      <c r="A115" s="73"/>
      <c r="B115" s="74"/>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row>
    <row r="116">
      <c r="A116" s="73"/>
      <c r="B116" s="74"/>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row>
    <row r="117">
      <c r="A117" s="73"/>
      <c r="B117" s="74"/>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row>
    <row r="118">
      <c r="A118" s="73"/>
      <c r="B118" s="74"/>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row>
    <row r="119">
      <c r="A119" s="73"/>
      <c r="B119" s="74"/>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row>
    <row r="120">
      <c r="A120" s="73"/>
      <c r="B120" s="74"/>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row>
    <row r="121">
      <c r="A121" s="73"/>
      <c r="B121" s="74"/>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row>
    <row r="122">
      <c r="A122" s="73"/>
      <c r="B122" s="74"/>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row>
    <row r="123">
      <c r="A123" s="73"/>
      <c r="B123" s="74"/>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row>
    <row r="124">
      <c r="A124" s="73"/>
      <c r="B124" s="74"/>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row>
    <row r="125">
      <c r="A125" s="73"/>
      <c r="B125" s="74"/>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row>
    <row r="126">
      <c r="A126" s="73"/>
      <c r="B126" s="74"/>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row>
    <row r="127">
      <c r="A127" s="73"/>
      <c r="B127" s="74"/>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row>
    <row r="128">
      <c r="A128" s="73"/>
      <c r="B128" s="74"/>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row>
    <row r="129">
      <c r="A129" s="73"/>
      <c r="B129" s="74"/>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row>
    <row r="130">
      <c r="A130" s="73"/>
      <c r="B130" s="74"/>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row>
    <row r="131">
      <c r="A131" s="73"/>
      <c r="B131" s="74"/>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row>
    <row r="132">
      <c r="A132" s="73"/>
      <c r="B132" s="74"/>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row>
    <row r="133">
      <c r="A133" s="73"/>
      <c r="B133" s="74"/>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row>
    <row r="134">
      <c r="A134" s="73"/>
      <c r="B134" s="74"/>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row>
    <row r="135">
      <c r="A135" s="73"/>
      <c r="B135" s="74"/>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row>
    <row r="136">
      <c r="A136" s="73"/>
      <c r="B136" s="74"/>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row>
    <row r="137">
      <c r="A137" s="73"/>
      <c r="B137" s="74"/>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row>
    <row r="138">
      <c r="A138" s="73"/>
      <c r="B138" s="74"/>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row>
    <row r="139">
      <c r="A139" s="73"/>
      <c r="B139" s="74"/>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row>
    <row r="140">
      <c r="A140" s="73"/>
      <c r="B140" s="74"/>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row>
    <row r="141">
      <c r="A141" s="73"/>
      <c r="B141" s="74"/>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row>
    <row r="142">
      <c r="A142" s="73"/>
      <c r="B142" s="74"/>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row>
    <row r="143">
      <c r="A143" s="73"/>
      <c r="B143" s="74"/>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row>
    <row r="144">
      <c r="A144" s="73"/>
      <c r="B144" s="74"/>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row>
    <row r="145">
      <c r="A145" s="73"/>
      <c r="B145" s="74"/>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row>
    <row r="146">
      <c r="A146" s="73"/>
      <c r="B146" s="74"/>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row>
    <row r="147">
      <c r="A147" s="73"/>
      <c r="B147" s="74"/>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row>
    <row r="148">
      <c r="A148" s="73"/>
      <c r="B148" s="74"/>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row>
    <row r="149">
      <c r="A149" s="73"/>
      <c r="B149" s="74"/>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row>
    <row r="150">
      <c r="A150" s="73"/>
      <c r="B150" s="74"/>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row>
    <row r="151">
      <c r="A151" s="73"/>
      <c r="B151" s="74"/>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row>
    <row r="152">
      <c r="A152" s="73"/>
      <c r="B152" s="74"/>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row>
    <row r="153">
      <c r="A153" s="73"/>
      <c r="B153" s="74"/>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row>
    <row r="154">
      <c r="A154" s="73"/>
      <c r="B154" s="74"/>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row>
    <row r="155">
      <c r="A155" s="73"/>
      <c r="B155" s="74"/>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row>
    <row r="156">
      <c r="A156" s="73"/>
      <c r="B156" s="74"/>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row>
    <row r="157">
      <c r="A157" s="73"/>
      <c r="B157" s="74"/>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row>
    <row r="158">
      <c r="A158" s="73"/>
      <c r="B158" s="74"/>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row>
    <row r="159">
      <c r="A159" s="73"/>
      <c r="B159" s="74"/>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row>
    <row r="160">
      <c r="A160" s="73"/>
      <c r="B160" s="74"/>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row>
    <row r="161">
      <c r="A161" s="73"/>
      <c r="B161" s="74"/>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row>
    <row r="162">
      <c r="A162" s="73"/>
      <c r="B162" s="74"/>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row>
    <row r="163">
      <c r="A163" s="73"/>
      <c r="B163" s="74"/>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row>
    <row r="164">
      <c r="A164" s="73"/>
      <c r="B164" s="74"/>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row>
    <row r="165">
      <c r="A165" s="73"/>
      <c r="B165" s="74"/>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row>
    <row r="166">
      <c r="A166" s="73"/>
      <c r="B166" s="74"/>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row>
    <row r="167">
      <c r="A167" s="73"/>
      <c r="B167" s="74"/>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row>
    <row r="168">
      <c r="A168" s="73"/>
      <c r="B168" s="74"/>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row>
    <row r="169">
      <c r="A169" s="73"/>
      <c r="B169" s="74"/>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row>
    <row r="170">
      <c r="A170" s="73"/>
      <c r="B170" s="74"/>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row>
    <row r="171">
      <c r="A171" s="73"/>
      <c r="B171" s="74"/>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row>
    <row r="172">
      <c r="A172" s="73"/>
      <c r="B172" s="74"/>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row>
    <row r="173">
      <c r="A173" s="73"/>
      <c r="B173" s="74"/>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row>
    <row r="174">
      <c r="A174" s="73"/>
      <c r="B174" s="74"/>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row>
    <row r="175">
      <c r="A175" s="73"/>
      <c r="B175" s="74"/>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row>
    <row r="176">
      <c r="A176" s="73"/>
      <c r="B176" s="74"/>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row>
    <row r="177">
      <c r="A177" s="73"/>
      <c r="B177" s="74"/>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row>
    <row r="178">
      <c r="A178" s="73"/>
      <c r="B178" s="74"/>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row>
    <row r="179">
      <c r="A179" s="73"/>
      <c r="B179" s="74"/>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row>
    <row r="180">
      <c r="A180" s="73"/>
      <c r="B180" s="74"/>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row>
    <row r="181">
      <c r="A181" s="73"/>
      <c r="B181" s="74"/>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row>
    <row r="182">
      <c r="A182" s="73"/>
      <c r="B182" s="74"/>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row>
    <row r="183">
      <c r="A183" s="73"/>
      <c r="B183" s="74"/>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row>
    <row r="184">
      <c r="A184" s="73"/>
      <c r="B184" s="74"/>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row>
    <row r="185">
      <c r="A185" s="73"/>
      <c r="B185" s="74"/>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row>
    <row r="186">
      <c r="A186" s="73"/>
      <c r="B186" s="74"/>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row>
    <row r="187">
      <c r="A187" s="73"/>
      <c r="B187" s="74"/>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row>
    <row r="188">
      <c r="A188" s="73"/>
      <c r="B188" s="74"/>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row>
    <row r="189">
      <c r="A189" s="73"/>
      <c r="B189" s="74"/>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row>
    <row r="190">
      <c r="A190" s="73"/>
      <c r="B190" s="74"/>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row>
    <row r="191">
      <c r="A191" s="73"/>
      <c r="B191" s="74"/>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row>
    <row r="192">
      <c r="A192" s="73"/>
      <c r="B192" s="74"/>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row>
    <row r="193">
      <c r="A193" s="73"/>
      <c r="B193" s="74"/>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row>
    <row r="194">
      <c r="A194" s="73"/>
      <c r="B194" s="74"/>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row>
    <row r="195">
      <c r="A195" s="73"/>
      <c r="B195" s="74"/>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row>
    <row r="196">
      <c r="A196" s="73"/>
      <c r="B196" s="74"/>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row>
    <row r="197">
      <c r="A197" s="73"/>
      <c r="B197" s="74"/>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row>
    <row r="198">
      <c r="A198" s="73"/>
      <c r="B198" s="74"/>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row>
    <row r="199">
      <c r="A199" s="73"/>
      <c r="B199" s="74"/>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row>
    <row r="200">
      <c r="A200" s="73"/>
      <c r="B200" s="74"/>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row>
    <row r="201">
      <c r="A201" s="73"/>
      <c r="B201" s="74"/>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row>
    <row r="202">
      <c r="A202" s="73"/>
      <c r="B202" s="74"/>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row>
    <row r="203">
      <c r="A203" s="73"/>
      <c r="B203" s="74"/>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row>
    <row r="204">
      <c r="A204" s="73"/>
      <c r="B204" s="74"/>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row>
    <row r="205">
      <c r="A205" s="73"/>
      <c r="B205" s="74"/>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row>
    <row r="206">
      <c r="A206" s="73"/>
      <c r="B206" s="74"/>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row>
    <row r="207">
      <c r="A207" s="73"/>
      <c r="B207" s="74"/>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row>
    <row r="208">
      <c r="A208" s="73"/>
      <c r="B208" s="74"/>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row>
    <row r="209">
      <c r="A209" s="73"/>
      <c r="B209" s="74"/>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row>
    <row r="210">
      <c r="A210" s="73"/>
      <c r="B210" s="74"/>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row>
    <row r="211">
      <c r="A211" s="73"/>
      <c r="B211" s="74"/>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row>
    <row r="212">
      <c r="A212" s="73"/>
      <c r="B212" s="74"/>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row>
    <row r="213">
      <c r="A213" s="73"/>
      <c r="B213" s="74"/>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row>
    <row r="214">
      <c r="A214" s="73"/>
      <c r="B214" s="74"/>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row>
    <row r="215">
      <c r="A215" s="73"/>
      <c r="B215" s="74"/>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row>
    <row r="216">
      <c r="A216" s="73"/>
      <c r="B216" s="74"/>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row>
    <row r="217">
      <c r="A217" s="73"/>
      <c r="B217" s="74"/>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row>
    <row r="218">
      <c r="A218" s="73"/>
      <c r="B218" s="74"/>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row>
    <row r="219">
      <c r="A219" s="73"/>
      <c r="B219" s="74"/>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row>
    <row r="220">
      <c r="A220" s="73"/>
      <c r="B220" s="74"/>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row>
    <row r="221">
      <c r="A221" s="73"/>
      <c r="B221" s="74"/>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row>
    <row r="222">
      <c r="A222" s="73"/>
      <c r="B222" s="74"/>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row>
    <row r="223">
      <c r="A223" s="73"/>
      <c r="B223" s="74"/>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row>
    <row r="224">
      <c r="A224" s="73"/>
      <c r="B224" s="74"/>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row>
    <row r="225">
      <c r="A225" s="73"/>
      <c r="B225" s="74"/>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row>
    <row r="226">
      <c r="A226" s="73"/>
      <c r="B226" s="74"/>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row>
    <row r="227">
      <c r="A227" s="73"/>
      <c r="B227" s="74"/>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row>
    <row r="228">
      <c r="A228" s="73"/>
      <c r="B228" s="74"/>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row>
    <row r="229">
      <c r="A229" s="73"/>
      <c r="B229" s="74"/>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row>
    <row r="230">
      <c r="A230" s="73"/>
      <c r="B230" s="74"/>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row>
    <row r="231">
      <c r="A231" s="73"/>
      <c r="B231" s="74"/>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row>
    <row r="232">
      <c r="A232" s="73"/>
      <c r="B232" s="74"/>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row>
    <row r="233">
      <c r="A233" s="73"/>
      <c r="B233" s="74"/>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row>
    <row r="234">
      <c r="A234" s="73"/>
      <c r="B234" s="74"/>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row>
    <row r="235">
      <c r="A235" s="73"/>
      <c r="B235" s="74"/>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row>
    <row r="236">
      <c r="A236" s="73"/>
      <c r="B236" s="74"/>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row>
    <row r="237">
      <c r="A237" s="73"/>
      <c r="B237" s="74"/>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row>
    <row r="238">
      <c r="A238" s="73"/>
      <c r="B238" s="74"/>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row>
    <row r="239">
      <c r="A239" s="73"/>
      <c r="B239" s="74"/>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row>
    <row r="240">
      <c r="A240" s="73"/>
      <c r="B240" s="74"/>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row>
    <row r="241">
      <c r="A241" s="73"/>
      <c r="B241" s="74"/>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row>
    <row r="242">
      <c r="A242" s="73"/>
      <c r="B242" s="74"/>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row>
    <row r="243">
      <c r="A243" s="73"/>
      <c r="B243" s="74"/>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row>
    <row r="244">
      <c r="A244" s="73"/>
      <c r="B244" s="74"/>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row>
    <row r="245">
      <c r="A245" s="73"/>
      <c r="B245" s="74"/>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row>
    <row r="246">
      <c r="A246" s="73"/>
      <c r="B246" s="74"/>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row>
    <row r="247">
      <c r="A247" s="73"/>
      <c r="B247" s="74"/>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row>
    <row r="248">
      <c r="A248" s="73"/>
      <c r="B248" s="74"/>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row>
    <row r="249">
      <c r="A249" s="73"/>
      <c r="B249" s="74"/>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row>
    <row r="250">
      <c r="A250" s="73"/>
      <c r="B250" s="74"/>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row>
    <row r="251">
      <c r="A251" s="73"/>
      <c r="B251" s="74"/>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row>
    <row r="252">
      <c r="A252" s="73"/>
      <c r="B252" s="74"/>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row>
    <row r="253">
      <c r="A253" s="73"/>
      <c r="B253" s="74"/>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row>
    <row r="254">
      <c r="A254" s="73"/>
      <c r="B254" s="74"/>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row>
    <row r="255">
      <c r="A255" s="73"/>
      <c r="B255" s="74"/>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row>
    <row r="256">
      <c r="A256" s="73"/>
      <c r="B256" s="74"/>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row>
    <row r="257">
      <c r="A257" s="73"/>
      <c r="B257" s="74"/>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row>
    <row r="258">
      <c r="A258" s="73"/>
      <c r="B258" s="74"/>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row>
    <row r="259">
      <c r="A259" s="73"/>
      <c r="B259" s="74"/>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row>
    <row r="260">
      <c r="A260" s="73"/>
      <c r="B260" s="74"/>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row>
    <row r="261">
      <c r="A261" s="73"/>
      <c r="B261" s="74"/>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row>
    <row r="262">
      <c r="A262" s="73"/>
      <c r="B262" s="74"/>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row>
    <row r="263">
      <c r="A263" s="73"/>
      <c r="B263" s="74"/>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row>
    <row r="264">
      <c r="A264" s="73"/>
      <c r="B264" s="74"/>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row>
    <row r="265">
      <c r="A265" s="73"/>
      <c r="B265" s="74"/>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row>
    <row r="266">
      <c r="A266" s="73"/>
      <c r="B266" s="74"/>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row>
    <row r="267">
      <c r="A267" s="73"/>
      <c r="B267" s="74"/>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row>
    <row r="268">
      <c r="A268" s="73"/>
      <c r="B268" s="74"/>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row>
    <row r="269">
      <c r="A269" s="73"/>
      <c r="B269" s="74"/>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row>
    <row r="270">
      <c r="A270" s="73"/>
      <c r="B270" s="74"/>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row>
    <row r="271">
      <c r="A271" s="73"/>
      <c r="B271" s="74"/>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row>
    <row r="272">
      <c r="A272" s="73"/>
      <c r="B272" s="74"/>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row>
    <row r="273">
      <c r="A273" s="73"/>
      <c r="B273" s="74"/>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row>
    <row r="274">
      <c r="A274" s="73"/>
      <c r="B274" s="74"/>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row>
    <row r="275">
      <c r="A275" s="73"/>
      <c r="B275" s="74"/>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row>
    <row r="276">
      <c r="A276" s="73"/>
      <c r="B276" s="74"/>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row>
    <row r="277">
      <c r="A277" s="73"/>
      <c r="B277" s="74"/>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row>
    <row r="278">
      <c r="A278" s="73"/>
      <c r="B278" s="74"/>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row>
    <row r="279">
      <c r="A279" s="73"/>
      <c r="B279" s="74"/>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row>
    <row r="280">
      <c r="A280" s="73"/>
      <c r="B280" s="74"/>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row>
    <row r="281">
      <c r="A281" s="73"/>
      <c r="B281" s="74"/>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row>
    <row r="282">
      <c r="A282" s="73"/>
      <c r="B282" s="74"/>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row>
    <row r="283">
      <c r="A283" s="73"/>
      <c r="B283" s="74"/>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row>
    <row r="284">
      <c r="A284" s="73"/>
      <c r="B284" s="74"/>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row>
    <row r="285">
      <c r="A285" s="73"/>
      <c r="B285" s="74"/>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row>
    <row r="286">
      <c r="A286" s="73"/>
      <c r="B286" s="74"/>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row>
    <row r="287">
      <c r="A287" s="73"/>
      <c r="B287" s="74"/>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row>
    <row r="288">
      <c r="A288" s="73"/>
      <c r="B288" s="74"/>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row>
    <row r="289">
      <c r="A289" s="73"/>
      <c r="B289" s="74"/>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row>
    <row r="290">
      <c r="A290" s="73"/>
      <c r="B290" s="74"/>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row>
    <row r="291">
      <c r="A291" s="73"/>
      <c r="B291" s="74"/>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row>
    <row r="292">
      <c r="A292" s="73"/>
      <c r="B292" s="74"/>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row>
    <row r="293">
      <c r="A293" s="73"/>
      <c r="B293" s="74"/>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row>
    <row r="294">
      <c r="A294" s="73"/>
      <c r="B294" s="74"/>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row>
    <row r="295">
      <c r="A295" s="73"/>
      <c r="B295" s="74"/>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row>
    <row r="296">
      <c r="A296" s="73"/>
      <c r="B296" s="74"/>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row>
    <row r="297">
      <c r="A297" s="73"/>
      <c r="B297" s="74"/>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row>
    <row r="298">
      <c r="A298" s="73"/>
      <c r="B298" s="74"/>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row>
    <row r="299">
      <c r="A299" s="73"/>
      <c r="B299" s="74"/>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row>
    <row r="300">
      <c r="A300" s="73"/>
      <c r="B300" s="74"/>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row>
    <row r="301">
      <c r="A301" s="73"/>
      <c r="B301" s="74"/>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row>
    <row r="302">
      <c r="A302" s="73"/>
      <c r="B302" s="74"/>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row>
    <row r="303">
      <c r="A303" s="73"/>
      <c r="B303" s="74"/>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row>
    <row r="304">
      <c r="A304" s="73"/>
      <c r="B304" s="74"/>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row>
    <row r="305">
      <c r="A305" s="73"/>
      <c r="B305" s="74"/>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row>
    <row r="306">
      <c r="A306" s="73"/>
      <c r="B306" s="74"/>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row>
    <row r="307">
      <c r="A307" s="73"/>
      <c r="B307" s="74"/>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row>
    <row r="308">
      <c r="A308" s="73"/>
      <c r="B308" s="74"/>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row>
    <row r="309">
      <c r="A309" s="73"/>
      <c r="B309" s="74"/>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row>
    <row r="310">
      <c r="A310" s="73"/>
      <c r="B310" s="74"/>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row>
    <row r="311">
      <c r="A311" s="73"/>
      <c r="B311" s="74"/>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row>
    <row r="312">
      <c r="A312" s="73"/>
      <c r="B312" s="74"/>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row>
    <row r="313">
      <c r="A313" s="73"/>
      <c r="B313" s="74"/>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row>
    <row r="314">
      <c r="A314" s="73"/>
      <c r="B314" s="74"/>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row>
    <row r="315">
      <c r="A315" s="73"/>
      <c r="B315" s="74"/>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row>
    <row r="316">
      <c r="A316" s="73"/>
      <c r="B316" s="74"/>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row>
    <row r="317">
      <c r="A317" s="73"/>
      <c r="B317" s="74"/>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row>
    <row r="318">
      <c r="A318" s="73"/>
      <c r="B318" s="74"/>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row>
    <row r="319">
      <c r="A319" s="73"/>
      <c r="B319" s="74"/>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row>
    <row r="320">
      <c r="A320" s="73"/>
      <c r="B320" s="74"/>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row>
    <row r="321">
      <c r="A321" s="73"/>
      <c r="B321" s="74"/>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row>
    <row r="322">
      <c r="A322" s="73"/>
      <c r="B322" s="74"/>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row>
    <row r="323">
      <c r="A323" s="73"/>
      <c r="B323" s="74"/>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row>
    <row r="324">
      <c r="A324" s="73"/>
      <c r="B324" s="74"/>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row>
    <row r="325">
      <c r="A325" s="73"/>
      <c r="B325" s="74"/>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row>
    <row r="326">
      <c r="A326" s="73"/>
      <c r="B326" s="74"/>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row>
    <row r="327">
      <c r="A327" s="73"/>
      <c r="B327" s="74"/>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row>
    <row r="328">
      <c r="A328" s="73"/>
      <c r="B328" s="74"/>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row>
    <row r="329">
      <c r="A329" s="73"/>
      <c r="B329" s="74"/>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row>
    <row r="330">
      <c r="A330" s="73"/>
      <c r="B330" s="74"/>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row>
    <row r="331">
      <c r="A331" s="73"/>
      <c r="B331" s="74"/>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row>
    <row r="332">
      <c r="A332" s="73"/>
      <c r="B332" s="74"/>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row>
    <row r="333">
      <c r="A333" s="73"/>
      <c r="B333" s="74"/>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row>
    <row r="334">
      <c r="A334" s="73"/>
      <c r="B334" s="74"/>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row>
    <row r="335">
      <c r="A335" s="73"/>
      <c r="B335" s="74"/>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row>
    <row r="336">
      <c r="A336" s="73"/>
      <c r="B336" s="74"/>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row>
    <row r="337">
      <c r="A337" s="73"/>
      <c r="B337" s="74"/>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c r="A338" s="73"/>
      <c r="B338" s="74"/>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c r="A339" s="73"/>
      <c r="B339" s="74"/>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c r="A340" s="73"/>
      <c r="B340" s="74"/>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c r="A341" s="73"/>
      <c r="B341" s="74"/>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c r="A342" s="73"/>
      <c r="B342" s="74"/>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c r="A343" s="73"/>
      <c r="B343" s="74"/>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row>
    <row r="344">
      <c r="A344" s="73"/>
      <c r="B344" s="74"/>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row>
    <row r="345">
      <c r="A345" s="73"/>
      <c r="B345" s="74"/>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c r="A346" s="73"/>
      <c r="B346" s="74"/>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c r="A347" s="73"/>
      <c r="B347" s="74"/>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c r="A348" s="73"/>
      <c r="B348" s="74"/>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c r="A349" s="73"/>
      <c r="B349" s="74"/>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c r="A350" s="73"/>
      <c r="B350" s="74"/>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c r="A351" s="73"/>
      <c r="B351" s="74"/>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c r="A352" s="73"/>
      <c r="B352" s="74"/>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row>
    <row r="353">
      <c r="A353" s="73"/>
      <c r="B353" s="74"/>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row>
    <row r="354">
      <c r="A354" s="73"/>
      <c r="B354" s="74"/>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row>
    <row r="355">
      <c r="A355" s="73"/>
      <c r="B355" s="74"/>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c r="A356" s="73"/>
      <c r="B356" s="74"/>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c r="A357" s="73"/>
      <c r="B357" s="74"/>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row>
    <row r="358">
      <c r="A358" s="73"/>
      <c r="B358" s="74"/>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row>
    <row r="359">
      <c r="A359" s="73"/>
      <c r="B359" s="74"/>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row>
    <row r="360">
      <c r="A360" s="73"/>
      <c r="B360" s="74"/>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row>
    <row r="361">
      <c r="A361" s="73"/>
      <c r="B361" s="74"/>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row>
    <row r="362">
      <c r="A362" s="73"/>
      <c r="B362" s="74"/>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row>
    <row r="363">
      <c r="A363" s="73"/>
      <c r="B363" s="74"/>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row>
    <row r="364">
      <c r="A364" s="73"/>
      <c r="B364" s="74"/>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row>
    <row r="365">
      <c r="A365" s="73"/>
      <c r="B365" s="74"/>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row>
    <row r="366">
      <c r="A366" s="73"/>
      <c r="B366" s="74"/>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row>
    <row r="367">
      <c r="A367" s="73"/>
      <c r="B367" s="74"/>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row>
    <row r="368">
      <c r="A368" s="73"/>
      <c r="B368" s="74"/>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row>
    <row r="369">
      <c r="A369" s="73"/>
      <c r="B369" s="74"/>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row>
    <row r="370">
      <c r="A370" s="73"/>
      <c r="B370" s="74"/>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row>
    <row r="371">
      <c r="A371" s="73"/>
      <c r="B371" s="74"/>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row>
    <row r="372">
      <c r="A372" s="73"/>
      <c r="B372" s="74"/>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row>
    <row r="373">
      <c r="A373" s="73"/>
      <c r="B373" s="74"/>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row>
    <row r="374">
      <c r="A374" s="73"/>
      <c r="B374" s="74"/>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row>
    <row r="375">
      <c r="A375" s="73"/>
      <c r="B375" s="74"/>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row>
    <row r="376">
      <c r="A376" s="73"/>
      <c r="B376" s="74"/>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row>
    <row r="377">
      <c r="A377" s="73"/>
      <c r="B377" s="74"/>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row>
    <row r="378">
      <c r="A378" s="73"/>
      <c r="B378" s="74"/>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row>
    <row r="379">
      <c r="A379" s="73"/>
      <c r="B379" s="74"/>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row>
    <row r="380">
      <c r="A380" s="73"/>
      <c r="B380" s="74"/>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row>
    <row r="381">
      <c r="A381" s="73"/>
      <c r="B381" s="74"/>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row>
    <row r="382">
      <c r="A382" s="73"/>
      <c r="B382" s="74"/>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row>
    <row r="383">
      <c r="A383" s="73"/>
      <c r="B383" s="74"/>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row>
    <row r="384">
      <c r="A384" s="73"/>
      <c r="B384" s="74"/>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row>
    <row r="385">
      <c r="A385" s="73"/>
      <c r="B385" s="74"/>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row>
    <row r="386">
      <c r="A386" s="73"/>
      <c r="B386" s="74"/>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row>
    <row r="387">
      <c r="A387" s="73"/>
      <c r="B387" s="74"/>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row>
    <row r="388">
      <c r="A388" s="73"/>
      <c r="B388" s="74"/>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row>
    <row r="389">
      <c r="A389" s="73"/>
      <c r="B389" s="74"/>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row>
    <row r="390">
      <c r="A390" s="73"/>
      <c r="B390" s="74"/>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row>
    <row r="391">
      <c r="A391" s="73"/>
      <c r="B391" s="74"/>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row>
    <row r="392">
      <c r="A392" s="73"/>
      <c r="B392" s="74"/>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row>
    <row r="393">
      <c r="A393" s="73"/>
      <c r="B393" s="74"/>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row>
    <row r="394">
      <c r="A394" s="73"/>
      <c r="B394" s="74"/>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row>
    <row r="395">
      <c r="A395" s="73"/>
      <c r="B395" s="74"/>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row>
    <row r="396">
      <c r="A396" s="73"/>
      <c r="B396" s="74"/>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row>
    <row r="397">
      <c r="A397" s="73"/>
      <c r="B397" s="74"/>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row>
    <row r="398">
      <c r="A398" s="73"/>
      <c r="B398" s="74"/>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row>
    <row r="399">
      <c r="A399" s="73"/>
      <c r="B399" s="74"/>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row>
    <row r="400">
      <c r="A400" s="73"/>
      <c r="B400" s="74"/>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row>
    <row r="401">
      <c r="A401" s="73"/>
      <c r="B401" s="74"/>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row>
    <row r="402">
      <c r="A402" s="73"/>
      <c r="B402" s="74"/>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row>
    <row r="403">
      <c r="A403" s="73"/>
      <c r="B403" s="74"/>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row>
    <row r="404">
      <c r="A404" s="73"/>
      <c r="B404" s="74"/>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row>
    <row r="405">
      <c r="A405" s="73"/>
      <c r="B405" s="74"/>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row>
    <row r="406">
      <c r="A406" s="73"/>
      <c r="B406" s="74"/>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row>
    <row r="407">
      <c r="A407" s="73"/>
      <c r="B407" s="74"/>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row>
    <row r="408">
      <c r="A408" s="73"/>
      <c r="B408" s="74"/>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row>
    <row r="409">
      <c r="A409" s="73"/>
      <c r="B409" s="74"/>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row>
    <row r="410">
      <c r="A410" s="73"/>
      <c r="B410" s="74"/>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row>
    <row r="411">
      <c r="A411" s="73"/>
      <c r="B411" s="74"/>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row>
    <row r="412">
      <c r="A412" s="73"/>
      <c r="B412" s="74"/>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row>
    <row r="413">
      <c r="A413" s="73"/>
      <c r="B413" s="74"/>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row>
    <row r="414">
      <c r="A414" s="73"/>
      <c r="B414" s="74"/>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row>
    <row r="415">
      <c r="A415" s="73"/>
      <c r="B415" s="74"/>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row>
    <row r="416">
      <c r="A416" s="73"/>
      <c r="B416" s="74"/>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row>
    <row r="417">
      <c r="A417" s="73"/>
      <c r="B417" s="74"/>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row>
    <row r="418">
      <c r="A418" s="73"/>
      <c r="B418" s="74"/>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row>
    <row r="419">
      <c r="A419" s="73"/>
      <c r="B419" s="74"/>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row>
    <row r="420">
      <c r="A420" s="73"/>
      <c r="B420" s="74"/>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row>
    <row r="421">
      <c r="A421" s="73"/>
      <c r="B421" s="74"/>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row>
    <row r="422">
      <c r="A422" s="73"/>
      <c r="B422" s="74"/>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row>
    <row r="423">
      <c r="A423" s="73"/>
      <c r="B423" s="74"/>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row>
    <row r="424">
      <c r="A424" s="73"/>
      <c r="B424" s="74"/>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row>
    <row r="425">
      <c r="A425" s="73"/>
      <c r="B425" s="74"/>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row>
    <row r="426">
      <c r="A426" s="73"/>
      <c r="B426" s="74"/>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row>
    <row r="427">
      <c r="A427" s="73"/>
      <c r="B427" s="74"/>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row>
    <row r="428">
      <c r="A428" s="73"/>
      <c r="B428" s="74"/>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row>
    <row r="429">
      <c r="A429" s="73"/>
      <c r="B429" s="74"/>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row>
    <row r="430">
      <c r="A430" s="73"/>
      <c r="B430" s="74"/>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row>
    <row r="431">
      <c r="A431" s="73"/>
      <c r="B431" s="74"/>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row>
    <row r="432">
      <c r="A432" s="73"/>
      <c r="B432" s="74"/>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row>
    <row r="433">
      <c r="A433" s="73"/>
      <c r="B433" s="74"/>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row>
    <row r="434">
      <c r="A434" s="73"/>
      <c r="B434" s="74"/>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row>
    <row r="435">
      <c r="A435" s="73"/>
      <c r="B435" s="74"/>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row>
    <row r="436">
      <c r="A436" s="73"/>
      <c r="B436" s="74"/>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row>
    <row r="437">
      <c r="A437" s="73"/>
      <c r="B437" s="74"/>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row>
    <row r="438">
      <c r="A438" s="73"/>
      <c r="B438" s="74"/>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row>
    <row r="439">
      <c r="A439" s="73"/>
      <c r="B439" s="74"/>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row>
    <row r="440">
      <c r="A440" s="73"/>
      <c r="B440" s="74"/>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row>
    <row r="441">
      <c r="A441" s="73"/>
      <c r="B441" s="74"/>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row>
    <row r="442">
      <c r="A442" s="73"/>
      <c r="B442" s="74"/>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row>
    <row r="443">
      <c r="A443" s="73"/>
      <c r="B443" s="74"/>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row>
    <row r="444">
      <c r="A444" s="73"/>
      <c r="B444" s="74"/>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row>
    <row r="445">
      <c r="A445" s="73"/>
      <c r="B445" s="74"/>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row>
    <row r="446">
      <c r="A446" s="73"/>
      <c r="B446" s="74"/>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row>
    <row r="447">
      <c r="A447" s="73"/>
      <c r="B447" s="74"/>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row>
    <row r="448">
      <c r="A448" s="73"/>
      <c r="B448" s="74"/>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row>
    <row r="449">
      <c r="A449" s="73"/>
      <c r="B449" s="74"/>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row>
    <row r="450">
      <c r="A450" s="73"/>
      <c r="B450" s="74"/>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row>
    <row r="451">
      <c r="A451" s="73"/>
      <c r="B451" s="74"/>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row>
    <row r="452">
      <c r="A452" s="73"/>
      <c r="B452" s="74"/>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row>
    <row r="453">
      <c r="A453" s="73"/>
      <c r="B453" s="74"/>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row>
    <row r="454">
      <c r="A454" s="73"/>
      <c r="B454" s="74"/>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row>
    <row r="455">
      <c r="A455" s="73"/>
      <c r="B455" s="74"/>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row>
    <row r="456">
      <c r="A456" s="73"/>
      <c r="B456" s="74"/>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row>
    <row r="457">
      <c r="A457" s="73"/>
      <c r="B457" s="74"/>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row>
    <row r="458">
      <c r="A458" s="73"/>
      <c r="B458" s="74"/>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row>
    <row r="459">
      <c r="A459" s="73"/>
      <c r="B459" s="74"/>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row>
    <row r="460">
      <c r="A460" s="73"/>
      <c r="B460" s="74"/>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row>
    <row r="461">
      <c r="A461" s="73"/>
      <c r="B461" s="74"/>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row>
    <row r="462">
      <c r="A462" s="73"/>
      <c r="B462" s="74"/>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row>
    <row r="463">
      <c r="A463" s="73"/>
      <c r="B463" s="74"/>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row>
    <row r="464">
      <c r="A464" s="73"/>
      <c r="B464" s="74"/>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row>
    <row r="465">
      <c r="A465" s="73"/>
      <c r="B465" s="74"/>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row>
    <row r="466">
      <c r="A466" s="73"/>
      <c r="B466" s="74"/>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row>
    <row r="467">
      <c r="A467" s="73"/>
      <c r="B467" s="74"/>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row>
    <row r="468">
      <c r="A468" s="73"/>
      <c r="B468" s="74"/>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row>
    <row r="469">
      <c r="A469" s="73"/>
      <c r="B469" s="74"/>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row>
    <row r="470">
      <c r="A470" s="73"/>
      <c r="B470" s="74"/>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row>
    <row r="471">
      <c r="A471" s="73"/>
      <c r="B471" s="74"/>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row>
    <row r="472">
      <c r="A472" s="73"/>
      <c r="B472" s="74"/>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row>
    <row r="473">
      <c r="A473" s="73"/>
      <c r="B473" s="74"/>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row>
    <row r="474">
      <c r="A474" s="73"/>
      <c r="B474" s="74"/>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row>
    <row r="475">
      <c r="A475" s="73"/>
      <c r="B475" s="74"/>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row>
    <row r="476">
      <c r="A476" s="73"/>
      <c r="B476" s="74"/>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row>
    <row r="477">
      <c r="A477" s="73"/>
      <c r="B477" s="74"/>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row>
    <row r="478">
      <c r="A478" s="73"/>
      <c r="B478" s="74"/>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row>
    <row r="479">
      <c r="A479" s="73"/>
      <c r="B479" s="74"/>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row>
    <row r="480">
      <c r="A480" s="73"/>
      <c r="B480" s="74"/>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row>
    <row r="481">
      <c r="A481" s="73"/>
      <c r="B481" s="74"/>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row>
    <row r="482">
      <c r="A482" s="73"/>
      <c r="B482" s="74"/>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row>
    <row r="483">
      <c r="A483" s="73"/>
      <c r="B483" s="74"/>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row>
    <row r="484">
      <c r="A484" s="73"/>
      <c r="B484" s="74"/>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row>
    <row r="485">
      <c r="A485" s="73"/>
      <c r="B485" s="74"/>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row>
    <row r="486">
      <c r="A486" s="73"/>
      <c r="B486" s="74"/>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row>
    <row r="487">
      <c r="A487" s="73"/>
      <c r="B487" s="74"/>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row>
    <row r="488">
      <c r="A488" s="73"/>
      <c r="B488" s="74"/>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row>
    <row r="489">
      <c r="A489" s="73"/>
      <c r="B489" s="74"/>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row>
    <row r="490">
      <c r="A490" s="73"/>
      <c r="B490" s="74"/>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row>
    <row r="491">
      <c r="A491" s="73"/>
      <c r="B491" s="74"/>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row>
    <row r="492">
      <c r="A492" s="73"/>
      <c r="B492" s="74"/>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row>
    <row r="493">
      <c r="A493" s="73"/>
      <c r="B493" s="74"/>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row>
    <row r="494">
      <c r="A494" s="73"/>
      <c r="B494" s="74"/>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row>
    <row r="495">
      <c r="A495" s="73"/>
      <c r="B495" s="74"/>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row>
    <row r="496">
      <c r="A496" s="73"/>
      <c r="B496" s="74"/>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row>
    <row r="497">
      <c r="A497" s="73"/>
      <c r="B497" s="74"/>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row>
    <row r="498">
      <c r="A498" s="73"/>
      <c r="B498" s="74"/>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row>
    <row r="499">
      <c r="A499" s="73"/>
      <c r="B499" s="74"/>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row>
    <row r="500">
      <c r="A500" s="73"/>
      <c r="B500" s="74"/>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row>
    <row r="501">
      <c r="A501" s="73"/>
      <c r="B501" s="74"/>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row>
    <row r="502">
      <c r="A502" s="73"/>
      <c r="B502" s="74"/>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row>
    <row r="503">
      <c r="A503" s="73"/>
      <c r="B503" s="74"/>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row>
    <row r="504">
      <c r="A504" s="73"/>
      <c r="B504" s="74"/>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row>
    <row r="505">
      <c r="A505" s="73"/>
      <c r="B505" s="74"/>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row>
    <row r="506">
      <c r="A506" s="73"/>
      <c r="B506" s="74"/>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row>
    <row r="507">
      <c r="A507" s="73"/>
      <c r="B507" s="74"/>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row>
    <row r="508">
      <c r="A508" s="73"/>
      <c r="B508" s="74"/>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row>
    <row r="509">
      <c r="A509" s="73"/>
      <c r="B509" s="74"/>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row>
    <row r="510">
      <c r="A510" s="73"/>
      <c r="B510" s="74"/>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row>
    <row r="511">
      <c r="A511" s="73"/>
      <c r="B511" s="74"/>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row>
    <row r="512">
      <c r="A512" s="73"/>
      <c r="B512" s="74"/>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row>
    <row r="513">
      <c r="A513" s="73"/>
      <c r="B513" s="74"/>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row>
    <row r="514">
      <c r="A514" s="73"/>
      <c r="B514" s="74"/>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row>
    <row r="515">
      <c r="A515" s="73"/>
      <c r="B515" s="74"/>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row>
    <row r="516">
      <c r="A516" s="73"/>
      <c r="B516" s="74"/>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row>
    <row r="517">
      <c r="A517" s="73"/>
      <c r="B517" s="74"/>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row>
    <row r="518">
      <c r="A518" s="73"/>
      <c r="B518" s="74"/>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row>
    <row r="519">
      <c r="A519" s="73"/>
      <c r="B519" s="74"/>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row>
    <row r="520">
      <c r="A520" s="73"/>
      <c r="B520" s="74"/>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row>
    <row r="521">
      <c r="A521" s="73"/>
      <c r="B521" s="74"/>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row>
    <row r="522">
      <c r="A522" s="73"/>
      <c r="B522" s="74"/>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row>
    <row r="523">
      <c r="A523" s="73"/>
      <c r="B523" s="74"/>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row>
    <row r="524">
      <c r="A524" s="73"/>
      <c r="B524" s="74"/>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row>
    <row r="525">
      <c r="A525" s="73"/>
      <c r="B525" s="74"/>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row>
    <row r="526">
      <c r="A526" s="73"/>
      <c r="B526" s="74"/>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row>
    <row r="527">
      <c r="A527" s="73"/>
      <c r="B527" s="74"/>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row>
    <row r="528">
      <c r="A528" s="73"/>
      <c r="B528" s="74"/>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row>
    <row r="529">
      <c r="A529" s="73"/>
      <c r="B529" s="74"/>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row>
    <row r="530">
      <c r="A530" s="73"/>
      <c r="B530" s="74"/>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row>
    <row r="531">
      <c r="A531" s="73"/>
      <c r="B531" s="74"/>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row>
    <row r="532">
      <c r="A532" s="73"/>
      <c r="B532" s="74"/>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row>
    <row r="533">
      <c r="A533" s="73"/>
      <c r="B533" s="74"/>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row>
    <row r="534">
      <c r="A534" s="73"/>
      <c r="B534" s="74"/>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row>
    <row r="535">
      <c r="A535" s="73"/>
      <c r="B535" s="74"/>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row>
    <row r="536">
      <c r="A536" s="73"/>
      <c r="B536" s="74"/>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row>
    <row r="537">
      <c r="A537" s="73"/>
      <c r="B537" s="74"/>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row>
    <row r="538">
      <c r="A538" s="73"/>
      <c r="B538" s="74"/>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row>
    <row r="539">
      <c r="A539" s="73"/>
      <c r="B539" s="74"/>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row>
    <row r="540">
      <c r="A540" s="73"/>
      <c r="B540" s="74"/>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row>
    <row r="541">
      <c r="A541" s="73"/>
      <c r="B541" s="74"/>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row>
    <row r="542">
      <c r="A542" s="73"/>
      <c r="B542" s="74"/>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row>
    <row r="543">
      <c r="A543" s="73"/>
      <c r="B543" s="74"/>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row>
    <row r="544">
      <c r="A544" s="73"/>
      <c r="B544" s="74"/>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row>
    <row r="545">
      <c r="A545" s="73"/>
      <c r="B545" s="74"/>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row>
    <row r="546">
      <c r="A546" s="73"/>
      <c r="B546" s="74"/>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row>
    <row r="547">
      <c r="A547" s="73"/>
      <c r="B547" s="74"/>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row>
    <row r="548">
      <c r="A548" s="73"/>
      <c r="B548" s="74"/>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row>
    <row r="549">
      <c r="A549" s="73"/>
      <c r="B549" s="74"/>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row>
    <row r="550">
      <c r="A550" s="73"/>
      <c r="B550" s="74"/>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row>
    <row r="551">
      <c r="A551" s="73"/>
      <c r="B551" s="74"/>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row>
    <row r="552">
      <c r="A552" s="73"/>
      <c r="B552" s="74"/>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row>
    <row r="553">
      <c r="A553" s="73"/>
      <c r="B553" s="74"/>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row>
    <row r="554">
      <c r="A554" s="73"/>
      <c r="B554" s="74"/>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row>
    <row r="555">
      <c r="A555" s="73"/>
      <c r="B555" s="74"/>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row>
    <row r="556">
      <c r="A556" s="73"/>
      <c r="B556" s="74"/>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row>
    <row r="557">
      <c r="A557" s="73"/>
      <c r="B557" s="74"/>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row>
    <row r="558">
      <c r="A558" s="73"/>
      <c r="B558" s="74"/>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row>
    <row r="559">
      <c r="A559" s="73"/>
      <c r="B559" s="74"/>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row>
    <row r="560">
      <c r="A560" s="73"/>
      <c r="B560" s="74"/>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row>
    <row r="561">
      <c r="A561" s="73"/>
      <c r="B561" s="74"/>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row>
    <row r="562">
      <c r="A562" s="73"/>
      <c r="B562" s="74"/>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row>
    <row r="563">
      <c r="A563" s="73"/>
      <c r="B563" s="74"/>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row>
    <row r="564">
      <c r="A564" s="73"/>
      <c r="B564" s="74"/>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row>
    <row r="565">
      <c r="A565" s="73"/>
      <c r="B565" s="74"/>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row>
    <row r="566">
      <c r="A566" s="73"/>
      <c r="B566" s="74"/>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row>
    <row r="567">
      <c r="A567" s="73"/>
      <c r="B567" s="74"/>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row>
    <row r="568">
      <c r="A568" s="73"/>
      <c r="B568" s="74"/>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row>
    <row r="569">
      <c r="A569" s="73"/>
      <c r="B569" s="74"/>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row>
    <row r="570">
      <c r="A570" s="73"/>
      <c r="B570" s="74"/>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row>
    <row r="571">
      <c r="A571" s="73"/>
      <c r="B571" s="74"/>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row>
    <row r="572">
      <c r="A572" s="73"/>
      <c r="B572" s="74"/>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row>
    <row r="573">
      <c r="A573" s="73"/>
      <c r="B573" s="74"/>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row>
    <row r="574">
      <c r="A574" s="73"/>
      <c r="B574" s="74"/>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row>
    <row r="575">
      <c r="A575" s="73"/>
      <c r="B575" s="74"/>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row>
    <row r="576">
      <c r="A576" s="73"/>
      <c r="B576" s="74"/>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row>
    <row r="577">
      <c r="A577" s="73"/>
      <c r="B577" s="74"/>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row>
    <row r="578">
      <c r="A578" s="73"/>
      <c r="B578" s="74"/>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row>
    <row r="579">
      <c r="A579" s="73"/>
      <c r="B579" s="74"/>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row>
    <row r="580">
      <c r="A580" s="73"/>
      <c r="B580" s="74"/>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row>
    <row r="581">
      <c r="A581" s="73"/>
      <c r="B581" s="74"/>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row>
    <row r="582">
      <c r="A582" s="73"/>
      <c r="B582" s="74"/>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row>
    <row r="583">
      <c r="A583" s="73"/>
      <c r="B583" s="74"/>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row>
    <row r="584">
      <c r="A584" s="73"/>
      <c r="B584" s="74"/>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row>
    <row r="585">
      <c r="A585" s="73"/>
      <c r="B585" s="74"/>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row>
    <row r="586">
      <c r="A586" s="73"/>
      <c r="B586" s="74"/>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row>
    <row r="587">
      <c r="A587" s="73"/>
      <c r="B587" s="74"/>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row>
    <row r="588">
      <c r="A588" s="73"/>
      <c r="B588" s="74"/>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row>
    <row r="589">
      <c r="A589" s="73"/>
      <c r="B589" s="74"/>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row>
    <row r="590">
      <c r="A590" s="73"/>
      <c r="B590" s="74"/>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row>
    <row r="591">
      <c r="A591" s="73"/>
      <c r="B591" s="74"/>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row>
    <row r="592">
      <c r="A592" s="73"/>
      <c r="B592" s="74"/>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row>
    <row r="593">
      <c r="A593" s="73"/>
      <c r="B593" s="74"/>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row>
    <row r="594">
      <c r="A594" s="73"/>
      <c r="B594" s="74"/>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row>
    <row r="595">
      <c r="A595" s="73"/>
      <c r="B595" s="74"/>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row>
    <row r="596">
      <c r="A596" s="73"/>
      <c r="B596" s="74"/>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row>
    <row r="597">
      <c r="A597" s="73"/>
      <c r="B597" s="74"/>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row>
    <row r="598">
      <c r="A598" s="73"/>
      <c r="B598" s="74"/>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row>
    <row r="599">
      <c r="A599" s="73"/>
      <c r="B599" s="74"/>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row>
    <row r="600">
      <c r="A600" s="73"/>
      <c r="B600" s="74"/>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row>
    <row r="601">
      <c r="A601" s="73"/>
      <c r="B601" s="74"/>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row>
    <row r="602">
      <c r="A602" s="73"/>
      <c r="B602" s="74"/>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row>
    <row r="603">
      <c r="A603" s="73"/>
      <c r="B603" s="74"/>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row>
    <row r="604">
      <c r="A604" s="73"/>
      <c r="B604" s="74"/>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row>
    <row r="605">
      <c r="A605" s="73"/>
      <c r="B605" s="74"/>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row>
    <row r="606">
      <c r="A606" s="73"/>
      <c r="B606" s="74"/>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row>
    <row r="607">
      <c r="A607" s="73"/>
      <c r="B607" s="74"/>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row>
    <row r="608">
      <c r="A608" s="73"/>
      <c r="B608" s="74"/>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row>
    <row r="609">
      <c r="A609" s="73"/>
      <c r="B609" s="74"/>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row>
    <row r="610">
      <c r="A610" s="73"/>
      <c r="B610" s="74"/>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row>
    <row r="611">
      <c r="A611" s="73"/>
      <c r="B611" s="74"/>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row>
    <row r="612">
      <c r="A612" s="73"/>
      <c r="B612" s="74"/>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row>
    <row r="613">
      <c r="A613" s="73"/>
      <c r="B613" s="74"/>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row>
    <row r="614">
      <c r="A614" s="73"/>
      <c r="B614" s="74"/>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row>
    <row r="615">
      <c r="A615" s="73"/>
      <c r="B615" s="74"/>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row>
    <row r="616">
      <c r="A616" s="73"/>
      <c r="B616" s="74"/>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row>
    <row r="617">
      <c r="A617" s="73"/>
      <c r="B617" s="74"/>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row>
    <row r="618">
      <c r="A618" s="73"/>
      <c r="B618" s="74"/>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row>
    <row r="619">
      <c r="A619" s="73"/>
      <c r="B619" s="74"/>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row>
    <row r="620">
      <c r="A620" s="73"/>
      <c r="B620" s="74"/>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row>
    <row r="621">
      <c r="A621" s="73"/>
      <c r="B621" s="74"/>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row>
    <row r="622">
      <c r="A622" s="73"/>
      <c r="B622" s="74"/>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row>
    <row r="623">
      <c r="A623" s="73"/>
      <c r="B623" s="74"/>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row>
    <row r="624">
      <c r="A624" s="73"/>
      <c r="B624" s="74"/>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row>
    <row r="625">
      <c r="A625" s="73"/>
      <c r="B625" s="74"/>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row>
    <row r="626">
      <c r="A626" s="73"/>
      <c r="B626" s="74"/>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row>
    <row r="627">
      <c r="A627" s="73"/>
      <c r="B627" s="74"/>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row>
    <row r="628">
      <c r="A628" s="73"/>
      <c r="B628" s="74"/>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row>
    <row r="629">
      <c r="A629" s="73"/>
      <c r="B629" s="74"/>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row>
    <row r="630">
      <c r="A630" s="73"/>
      <c r="B630" s="74"/>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row>
    <row r="631">
      <c r="A631" s="73"/>
      <c r="B631" s="74"/>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row>
    <row r="632">
      <c r="A632" s="73"/>
      <c r="B632" s="74"/>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row>
    <row r="633">
      <c r="A633" s="73"/>
      <c r="B633" s="74"/>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row>
    <row r="634">
      <c r="A634" s="73"/>
      <c r="B634" s="74"/>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row>
    <row r="635">
      <c r="A635" s="73"/>
      <c r="B635" s="74"/>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row>
    <row r="636">
      <c r="A636" s="73"/>
      <c r="B636" s="74"/>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row>
    <row r="637">
      <c r="A637" s="73"/>
      <c r="B637" s="74"/>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row>
    <row r="638">
      <c r="A638" s="73"/>
      <c r="B638" s="74"/>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row>
    <row r="639">
      <c r="A639" s="73"/>
      <c r="B639" s="74"/>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row>
    <row r="640">
      <c r="A640" s="73"/>
      <c r="B640" s="74"/>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row>
    <row r="641">
      <c r="A641" s="73"/>
      <c r="B641" s="74"/>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row>
    <row r="642">
      <c r="A642" s="73"/>
      <c r="B642" s="74"/>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row>
    <row r="643">
      <c r="A643" s="73"/>
      <c r="B643" s="74"/>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row>
    <row r="644">
      <c r="A644" s="73"/>
      <c r="B644" s="74"/>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row>
    <row r="645">
      <c r="A645" s="73"/>
      <c r="B645" s="74"/>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row>
    <row r="646">
      <c r="A646" s="73"/>
      <c r="B646" s="74"/>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row>
    <row r="647">
      <c r="A647" s="73"/>
      <c r="B647" s="74"/>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row>
    <row r="648">
      <c r="A648" s="73"/>
      <c r="B648" s="74"/>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row>
    <row r="649">
      <c r="A649" s="73"/>
      <c r="B649" s="74"/>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row>
    <row r="650">
      <c r="A650" s="73"/>
      <c r="B650" s="74"/>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row>
    <row r="651">
      <c r="A651" s="73"/>
      <c r="B651" s="74"/>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row>
    <row r="652">
      <c r="A652" s="73"/>
      <c r="B652" s="74"/>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row>
    <row r="653">
      <c r="A653" s="73"/>
      <c r="B653" s="74"/>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row>
    <row r="654">
      <c r="A654" s="73"/>
      <c r="B654" s="74"/>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row>
    <row r="655">
      <c r="A655" s="73"/>
      <c r="B655" s="74"/>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row>
    <row r="656">
      <c r="A656" s="73"/>
      <c r="B656" s="74"/>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row>
    <row r="657">
      <c r="A657" s="73"/>
      <c r="B657" s="74"/>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row>
    <row r="658">
      <c r="A658" s="73"/>
      <c r="B658" s="74"/>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row>
    <row r="659">
      <c r="A659" s="73"/>
      <c r="B659" s="74"/>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row>
    <row r="660">
      <c r="A660" s="73"/>
      <c r="B660" s="74"/>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row>
    <row r="661">
      <c r="A661" s="73"/>
      <c r="B661" s="74"/>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row>
    <row r="662">
      <c r="A662" s="73"/>
      <c r="B662" s="74"/>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row>
    <row r="663">
      <c r="A663" s="73"/>
      <c r="B663" s="74"/>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row>
    <row r="664">
      <c r="A664" s="73"/>
      <c r="B664" s="74"/>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row>
    <row r="665">
      <c r="A665" s="73"/>
      <c r="B665" s="74"/>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row>
    <row r="666">
      <c r="A666" s="73"/>
      <c r="B666" s="74"/>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row>
    <row r="667">
      <c r="A667" s="73"/>
      <c r="B667" s="74"/>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row>
    <row r="668">
      <c r="A668" s="73"/>
      <c r="B668" s="74"/>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row>
    <row r="669">
      <c r="A669" s="73"/>
      <c r="B669" s="74"/>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row>
    <row r="670">
      <c r="A670" s="73"/>
      <c r="B670" s="74"/>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row>
    <row r="671">
      <c r="A671" s="73"/>
      <c r="B671" s="74"/>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row>
    <row r="672">
      <c r="A672" s="73"/>
      <c r="B672" s="74"/>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row>
    <row r="673">
      <c r="A673" s="73"/>
      <c r="B673" s="74"/>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row>
    <row r="674">
      <c r="A674" s="73"/>
      <c r="B674" s="74"/>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row>
    <row r="675">
      <c r="A675" s="73"/>
      <c r="B675" s="74"/>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row>
    <row r="676">
      <c r="A676" s="73"/>
      <c r="B676" s="74"/>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row>
    <row r="677">
      <c r="A677" s="73"/>
      <c r="B677" s="74"/>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row>
    <row r="678">
      <c r="A678" s="73"/>
      <c r="B678" s="74"/>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row>
    <row r="679">
      <c r="A679" s="73"/>
      <c r="B679" s="74"/>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row>
    <row r="680">
      <c r="A680" s="73"/>
      <c r="B680" s="74"/>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row>
    <row r="681">
      <c r="A681" s="73"/>
      <c r="B681" s="74"/>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row>
    <row r="682">
      <c r="A682" s="73"/>
      <c r="B682" s="74"/>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row>
    <row r="683">
      <c r="A683" s="73"/>
      <c r="B683" s="74"/>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row>
    <row r="684">
      <c r="A684" s="73"/>
      <c r="B684" s="74"/>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row>
    <row r="685">
      <c r="A685" s="73"/>
      <c r="B685" s="74"/>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row>
    <row r="686">
      <c r="A686" s="73"/>
      <c r="B686" s="74"/>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row>
    <row r="687">
      <c r="A687" s="73"/>
      <c r="B687" s="74"/>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row>
    <row r="688">
      <c r="A688" s="73"/>
      <c r="B688" s="74"/>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row>
    <row r="689">
      <c r="A689" s="73"/>
      <c r="B689" s="74"/>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row>
    <row r="690">
      <c r="A690" s="73"/>
      <c r="B690" s="74"/>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row>
    <row r="691">
      <c r="A691" s="73"/>
      <c r="B691" s="74"/>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row>
    <row r="692">
      <c r="A692" s="73"/>
      <c r="B692" s="74"/>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row>
    <row r="693">
      <c r="A693" s="73"/>
      <c r="B693" s="74"/>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row>
    <row r="694">
      <c r="A694" s="73"/>
      <c r="B694" s="74"/>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row>
    <row r="695">
      <c r="A695" s="73"/>
      <c r="B695" s="74"/>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row>
    <row r="696">
      <c r="A696" s="73"/>
      <c r="B696" s="74"/>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row>
    <row r="697">
      <c r="A697" s="73"/>
      <c r="B697" s="74"/>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row>
    <row r="698">
      <c r="A698" s="73"/>
      <c r="B698" s="74"/>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row>
    <row r="699">
      <c r="A699" s="73"/>
      <c r="B699" s="74"/>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row>
    <row r="700">
      <c r="A700" s="73"/>
      <c r="B700" s="74"/>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row>
    <row r="701">
      <c r="A701" s="73"/>
      <c r="B701" s="74"/>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row>
    <row r="702">
      <c r="A702" s="73"/>
      <c r="B702" s="74"/>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row>
    <row r="703">
      <c r="A703" s="73"/>
      <c r="B703" s="74"/>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row>
    <row r="704">
      <c r="A704" s="73"/>
      <c r="B704" s="74"/>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row>
    <row r="705">
      <c r="A705" s="73"/>
      <c r="B705" s="74"/>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row>
    <row r="706">
      <c r="A706" s="73"/>
      <c r="B706" s="74"/>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row>
    <row r="707">
      <c r="A707" s="73"/>
      <c r="B707" s="74"/>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row>
    <row r="708">
      <c r="A708" s="73"/>
      <c r="B708" s="74"/>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row>
    <row r="709">
      <c r="A709" s="73"/>
      <c r="B709" s="74"/>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row>
    <row r="710">
      <c r="A710" s="73"/>
      <c r="B710" s="74"/>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row>
    <row r="711">
      <c r="A711" s="73"/>
      <c r="B711" s="74"/>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row>
    <row r="712">
      <c r="A712" s="73"/>
      <c r="B712" s="74"/>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row>
    <row r="713">
      <c r="A713" s="73"/>
      <c r="B713" s="74"/>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row>
    <row r="714">
      <c r="A714" s="73"/>
      <c r="B714" s="74"/>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row>
    <row r="715">
      <c r="A715" s="73"/>
      <c r="B715" s="74"/>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row>
    <row r="716">
      <c r="A716" s="73"/>
      <c r="B716" s="74"/>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row>
    <row r="717">
      <c r="A717" s="73"/>
      <c r="B717" s="74"/>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row>
    <row r="718">
      <c r="A718" s="73"/>
      <c r="B718" s="74"/>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row>
    <row r="719">
      <c r="A719" s="73"/>
      <c r="B719" s="74"/>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row>
    <row r="720">
      <c r="A720" s="73"/>
      <c r="B720" s="74"/>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row>
    <row r="721">
      <c r="A721" s="73"/>
      <c r="B721" s="74"/>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row>
    <row r="722">
      <c r="A722" s="73"/>
      <c r="B722" s="74"/>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row>
    <row r="723">
      <c r="A723" s="73"/>
      <c r="B723" s="74"/>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row>
    <row r="724">
      <c r="A724" s="73"/>
      <c r="B724" s="74"/>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row>
    <row r="725">
      <c r="A725" s="73"/>
      <c r="B725" s="74"/>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row>
    <row r="726">
      <c r="A726" s="73"/>
      <c r="B726" s="74"/>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row>
    <row r="727">
      <c r="A727" s="73"/>
      <c r="B727" s="74"/>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row>
    <row r="728">
      <c r="A728" s="73"/>
      <c r="B728" s="74"/>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row>
    <row r="729">
      <c r="A729" s="73"/>
      <c r="B729" s="74"/>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row>
    <row r="730">
      <c r="A730" s="73"/>
      <c r="B730" s="74"/>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row>
    <row r="731">
      <c r="A731" s="73"/>
      <c r="B731" s="74"/>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row>
    <row r="732">
      <c r="A732" s="73"/>
      <c r="B732" s="74"/>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row>
    <row r="733">
      <c r="A733" s="73"/>
      <c r="B733" s="74"/>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row>
    <row r="734">
      <c r="A734" s="73"/>
      <c r="B734" s="74"/>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row>
    <row r="735">
      <c r="A735" s="73"/>
      <c r="B735" s="74"/>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row>
    <row r="736">
      <c r="A736" s="73"/>
      <c r="B736" s="74"/>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row>
    <row r="737">
      <c r="A737" s="73"/>
      <c r="B737" s="74"/>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row>
    <row r="738">
      <c r="A738" s="73"/>
      <c r="B738" s="74"/>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row>
    <row r="739">
      <c r="A739" s="73"/>
      <c r="B739" s="74"/>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row>
    <row r="740">
      <c r="A740" s="73"/>
      <c r="B740" s="74"/>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row>
    <row r="741">
      <c r="A741" s="73"/>
      <c r="B741" s="74"/>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row>
    <row r="742">
      <c r="A742" s="73"/>
      <c r="B742" s="74"/>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row>
    <row r="743">
      <c r="A743" s="73"/>
      <c r="B743" s="74"/>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row>
    <row r="744">
      <c r="A744" s="73"/>
      <c r="B744" s="74"/>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row>
    <row r="745">
      <c r="A745" s="73"/>
      <c r="B745" s="74"/>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row>
    <row r="746">
      <c r="A746" s="73"/>
      <c r="B746" s="74"/>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row>
    <row r="747">
      <c r="A747" s="73"/>
      <c r="B747" s="74"/>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row>
    <row r="748">
      <c r="A748" s="73"/>
      <c r="B748" s="74"/>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row>
    <row r="749">
      <c r="A749" s="73"/>
      <c r="B749" s="74"/>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row>
    <row r="750">
      <c r="A750" s="73"/>
      <c r="B750" s="74"/>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row>
    <row r="751">
      <c r="A751" s="73"/>
      <c r="B751" s="74"/>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row>
    <row r="752">
      <c r="A752" s="73"/>
      <c r="B752" s="74"/>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row>
    <row r="753">
      <c r="A753" s="73"/>
      <c r="B753" s="74"/>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row>
    <row r="754">
      <c r="A754" s="73"/>
      <c r="B754" s="74"/>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row>
    <row r="755">
      <c r="A755" s="73"/>
      <c r="B755" s="74"/>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row>
    <row r="756">
      <c r="A756" s="73"/>
      <c r="B756" s="74"/>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row>
    <row r="757">
      <c r="A757" s="73"/>
      <c r="B757" s="74"/>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row>
    <row r="758">
      <c r="A758" s="73"/>
      <c r="B758" s="74"/>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row>
    <row r="759">
      <c r="A759" s="73"/>
      <c r="B759" s="74"/>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row>
    <row r="760">
      <c r="A760" s="73"/>
      <c r="B760" s="74"/>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row>
    <row r="761">
      <c r="A761" s="73"/>
      <c r="B761" s="74"/>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row>
    <row r="762">
      <c r="A762" s="73"/>
      <c r="B762" s="74"/>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row>
    <row r="763">
      <c r="A763" s="73"/>
      <c r="B763" s="74"/>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row>
    <row r="764">
      <c r="A764" s="73"/>
      <c r="B764" s="74"/>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row>
    <row r="765">
      <c r="A765" s="73"/>
      <c r="B765" s="74"/>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row>
    <row r="766">
      <c r="A766" s="73"/>
      <c r="B766" s="74"/>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row>
    <row r="767">
      <c r="A767" s="73"/>
      <c r="B767" s="74"/>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row>
    <row r="768">
      <c r="A768" s="73"/>
      <c r="B768" s="74"/>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row>
    <row r="769">
      <c r="A769" s="73"/>
      <c r="B769" s="74"/>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row>
    <row r="770">
      <c r="A770" s="73"/>
      <c r="B770" s="74"/>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row>
    <row r="771">
      <c r="A771" s="73"/>
      <c r="B771" s="74"/>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row>
    <row r="772">
      <c r="A772" s="73"/>
      <c r="B772" s="74"/>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row>
    <row r="773">
      <c r="A773" s="73"/>
      <c r="B773" s="74"/>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row>
    <row r="774">
      <c r="A774" s="73"/>
      <c r="B774" s="74"/>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row>
    <row r="775">
      <c r="A775" s="73"/>
      <c r="B775" s="74"/>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row>
    <row r="776">
      <c r="A776" s="73"/>
      <c r="B776" s="74"/>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row>
    <row r="777">
      <c r="A777" s="73"/>
      <c r="B777" s="74"/>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row>
    <row r="778">
      <c r="A778" s="73"/>
      <c r="B778" s="74"/>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row>
    <row r="779">
      <c r="A779" s="73"/>
      <c r="B779" s="74"/>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row>
    <row r="780">
      <c r="A780" s="73"/>
      <c r="B780" s="74"/>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row>
    <row r="781">
      <c r="A781" s="73"/>
      <c r="B781" s="74"/>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row>
    <row r="782">
      <c r="A782" s="73"/>
      <c r="B782" s="74"/>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row>
    <row r="783">
      <c r="A783" s="73"/>
      <c r="B783" s="74"/>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row>
    <row r="784">
      <c r="A784" s="73"/>
      <c r="B784" s="74"/>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row>
    <row r="785">
      <c r="A785" s="73"/>
      <c r="B785" s="74"/>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row>
    <row r="786">
      <c r="A786" s="73"/>
      <c r="B786" s="74"/>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row>
    <row r="787">
      <c r="A787" s="73"/>
      <c r="B787" s="74"/>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row>
    <row r="788">
      <c r="A788" s="73"/>
      <c r="B788" s="74"/>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row>
    <row r="789">
      <c r="A789" s="73"/>
      <c r="B789" s="74"/>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row>
    <row r="790">
      <c r="A790" s="73"/>
      <c r="B790" s="74"/>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row>
    <row r="791">
      <c r="A791" s="73"/>
      <c r="B791" s="74"/>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row>
    <row r="792">
      <c r="A792" s="73"/>
      <c r="B792" s="74"/>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row>
    <row r="793">
      <c r="A793" s="73"/>
      <c r="B793" s="74"/>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row>
    <row r="794">
      <c r="A794" s="73"/>
      <c r="B794" s="74"/>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row>
    <row r="795">
      <c r="A795" s="73"/>
      <c r="B795" s="74"/>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row>
    <row r="796">
      <c r="A796" s="73"/>
      <c r="B796" s="74"/>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row>
    <row r="797">
      <c r="A797" s="73"/>
      <c r="B797" s="74"/>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row>
    <row r="798">
      <c r="A798" s="73"/>
      <c r="B798" s="74"/>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row>
    <row r="799">
      <c r="A799" s="73"/>
      <c r="B799" s="74"/>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row>
    <row r="800">
      <c r="A800" s="73"/>
      <c r="B800" s="74"/>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row>
    <row r="801">
      <c r="A801" s="73"/>
      <c r="B801" s="74"/>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row>
    <row r="802">
      <c r="A802" s="73"/>
      <c r="B802" s="74"/>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row>
    <row r="803">
      <c r="A803" s="73"/>
      <c r="B803" s="74"/>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row>
    <row r="804">
      <c r="A804" s="73"/>
      <c r="B804" s="74"/>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row>
    <row r="805">
      <c r="A805" s="73"/>
      <c r="B805" s="74"/>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row>
    <row r="806">
      <c r="A806" s="73"/>
      <c r="B806" s="74"/>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row>
    <row r="807">
      <c r="A807" s="73"/>
      <c r="B807" s="74"/>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row>
    <row r="808">
      <c r="A808" s="73"/>
      <c r="B808" s="74"/>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row>
    <row r="809">
      <c r="A809" s="73"/>
      <c r="B809" s="74"/>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row>
    <row r="810">
      <c r="A810" s="73"/>
      <c r="B810" s="74"/>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row>
    <row r="811">
      <c r="A811" s="73"/>
      <c r="B811" s="74"/>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row>
    <row r="812">
      <c r="A812" s="73"/>
      <c r="B812" s="74"/>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row>
    <row r="813">
      <c r="A813" s="73"/>
      <c r="B813" s="74"/>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row>
    <row r="814">
      <c r="A814" s="73"/>
      <c r="B814" s="74"/>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row>
    <row r="815">
      <c r="A815" s="73"/>
      <c r="B815" s="74"/>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row>
    <row r="816">
      <c r="A816" s="73"/>
      <c r="B816" s="74"/>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row>
    <row r="817">
      <c r="A817" s="73"/>
      <c r="B817" s="74"/>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row>
    <row r="818">
      <c r="A818" s="73"/>
      <c r="B818" s="74"/>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row>
    <row r="819">
      <c r="A819" s="73"/>
      <c r="B819" s="74"/>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row>
    <row r="820">
      <c r="A820" s="73"/>
      <c r="B820" s="74"/>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row>
    <row r="821">
      <c r="A821" s="73"/>
      <c r="B821" s="74"/>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row>
    <row r="822">
      <c r="A822" s="73"/>
      <c r="B822" s="74"/>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row>
    <row r="823">
      <c r="A823" s="73"/>
      <c r="B823" s="74"/>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row>
    <row r="824">
      <c r="A824" s="73"/>
      <c r="B824" s="74"/>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row>
    <row r="825">
      <c r="A825" s="73"/>
      <c r="B825" s="74"/>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row>
    <row r="826">
      <c r="A826" s="73"/>
      <c r="B826" s="74"/>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row>
    <row r="827">
      <c r="A827" s="73"/>
      <c r="B827" s="74"/>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row>
    <row r="828">
      <c r="A828" s="73"/>
      <c r="B828" s="74"/>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row>
    <row r="829">
      <c r="A829" s="73"/>
      <c r="B829" s="74"/>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row>
    <row r="830">
      <c r="A830" s="73"/>
      <c r="B830" s="74"/>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row>
    <row r="831">
      <c r="A831" s="73"/>
      <c r="B831" s="74"/>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row>
    <row r="832">
      <c r="A832" s="73"/>
      <c r="B832" s="74"/>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row>
    <row r="833">
      <c r="A833" s="73"/>
      <c r="B833" s="74"/>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row>
    <row r="834">
      <c r="A834" s="73"/>
      <c r="B834" s="74"/>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row>
    <row r="835">
      <c r="A835" s="73"/>
      <c r="B835" s="74"/>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row>
    <row r="836">
      <c r="A836" s="73"/>
      <c r="B836" s="74"/>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row>
    <row r="837">
      <c r="A837" s="73"/>
      <c r="B837" s="74"/>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row>
    <row r="838">
      <c r="A838" s="73"/>
      <c r="B838" s="74"/>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row>
    <row r="839">
      <c r="A839" s="73"/>
      <c r="B839" s="74"/>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row>
    <row r="840">
      <c r="A840" s="73"/>
      <c r="B840" s="74"/>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row>
    <row r="841">
      <c r="A841" s="73"/>
      <c r="B841" s="74"/>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row>
    <row r="842">
      <c r="A842" s="73"/>
      <c r="B842" s="74"/>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row>
    <row r="843">
      <c r="A843" s="73"/>
      <c r="B843" s="74"/>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row>
    <row r="844">
      <c r="A844" s="73"/>
      <c r="B844" s="74"/>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row>
    <row r="845">
      <c r="A845" s="73"/>
      <c r="B845" s="74"/>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row>
    <row r="846">
      <c r="A846" s="73"/>
      <c r="B846" s="74"/>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row>
    <row r="847">
      <c r="A847" s="73"/>
      <c r="B847" s="74"/>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row>
    <row r="848">
      <c r="A848" s="73"/>
      <c r="B848" s="74"/>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row>
    <row r="849">
      <c r="A849" s="73"/>
      <c r="B849" s="74"/>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row>
    <row r="850">
      <c r="A850" s="73"/>
      <c r="B850" s="74"/>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row>
    <row r="851">
      <c r="A851" s="73"/>
      <c r="B851" s="74"/>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row>
    <row r="852">
      <c r="A852" s="73"/>
      <c r="B852" s="74"/>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row>
    <row r="853">
      <c r="A853" s="73"/>
      <c r="B853" s="74"/>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row>
    <row r="854">
      <c r="A854" s="73"/>
      <c r="B854" s="74"/>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row>
    <row r="855">
      <c r="A855" s="73"/>
      <c r="B855" s="74"/>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row>
    <row r="856">
      <c r="A856" s="73"/>
      <c r="B856" s="74"/>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row>
    <row r="857">
      <c r="A857" s="73"/>
      <c r="B857" s="74"/>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row>
    <row r="858">
      <c r="A858" s="73"/>
      <c r="B858" s="74"/>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row>
    <row r="859">
      <c r="A859" s="73"/>
      <c r="B859" s="74"/>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row>
    <row r="860">
      <c r="A860" s="73"/>
      <c r="B860" s="74"/>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row>
    <row r="861">
      <c r="A861" s="73"/>
      <c r="B861" s="74"/>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row>
    <row r="862">
      <c r="A862" s="73"/>
      <c r="B862" s="74"/>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row>
    <row r="863">
      <c r="A863" s="73"/>
      <c r="B863" s="74"/>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row>
    <row r="864">
      <c r="A864" s="73"/>
      <c r="B864" s="74"/>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row>
    <row r="865">
      <c r="A865" s="73"/>
      <c r="B865" s="74"/>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row>
    <row r="866">
      <c r="A866" s="73"/>
      <c r="B866" s="74"/>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row>
    <row r="867">
      <c r="A867" s="73"/>
      <c r="B867" s="74"/>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row>
    <row r="868">
      <c r="A868" s="73"/>
      <c r="B868" s="74"/>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row>
    <row r="869">
      <c r="A869" s="73"/>
      <c r="B869" s="74"/>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row>
    <row r="870">
      <c r="A870" s="73"/>
      <c r="B870" s="74"/>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row>
    <row r="871">
      <c r="A871" s="73"/>
      <c r="B871" s="74"/>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row>
    <row r="872">
      <c r="A872" s="73"/>
      <c r="B872" s="74"/>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row>
    <row r="873">
      <c r="A873" s="73"/>
      <c r="B873" s="74"/>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row>
    <row r="874">
      <c r="A874" s="73"/>
      <c r="B874" s="74"/>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row>
    <row r="875">
      <c r="A875" s="73"/>
      <c r="B875" s="74"/>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row>
    <row r="876">
      <c r="A876" s="73"/>
      <c r="B876" s="74"/>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row>
    <row r="877">
      <c r="A877" s="73"/>
      <c r="B877" s="74"/>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row>
    <row r="878">
      <c r="A878" s="73"/>
      <c r="B878" s="74"/>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row>
    <row r="879">
      <c r="A879" s="73"/>
      <c r="B879" s="74"/>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row>
    <row r="880">
      <c r="A880" s="73"/>
      <c r="B880" s="74"/>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row>
    <row r="881">
      <c r="A881" s="73"/>
      <c r="B881" s="74"/>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row>
    <row r="882">
      <c r="A882" s="73"/>
      <c r="B882" s="74"/>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row>
    <row r="883">
      <c r="A883" s="73"/>
      <c r="B883" s="74"/>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row>
    <row r="884">
      <c r="A884" s="73"/>
      <c r="B884" s="74"/>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row>
    <row r="885">
      <c r="A885" s="73"/>
      <c r="B885" s="74"/>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row>
    <row r="886">
      <c r="A886" s="73"/>
      <c r="B886" s="74"/>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row>
    <row r="887">
      <c r="A887" s="73"/>
      <c r="B887" s="74"/>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row>
    <row r="888">
      <c r="A888" s="73"/>
      <c r="B888" s="74"/>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row>
    <row r="889">
      <c r="A889" s="73"/>
      <c r="B889" s="74"/>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row>
    <row r="890">
      <c r="A890" s="73"/>
      <c r="B890" s="74"/>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row>
    <row r="891">
      <c r="A891" s="73"/>
      <c r="B891" s="74"/>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row>
    <row r="892">
      <c r="A892" s="73"/>
      <c r="B892" s="74"/>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row>
    <row r="893">
      <c r="A893" s="73"/>
      <c r="B893" s="74"/>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row>
    <row r="894">
      <c r="A894" s="73"/>
      <c r="B894" s="74"/>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row>
    <row r="895">
      <c r="A895" s="73"/>
      <c r="B895" s="74"/>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row>
    <row r="896">
      <c r="A896" s="73"/>
      <c r="B896" s="74"/>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row>
    <row r="897">
      <c r="A897" s="73"/>
      <c r="B897" s="74"/>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row>
    <row r="898">
      <c r="A898" s="73"/>
      <c r="B898" s="74"/>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row>
    <row r="899">
      <c r="A899" s="73"/>
      <c r="B899" s="74"/>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row>
    <row r="900">
      <c r="A900" s="73"/>
      <c r="B900" s="74"/>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row>
    <row r="901">
      <c r="A901" s="73"/>
      <c r="B901" s="74"/>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row>
    <row r="902">
      <c r="A902" s="73"/>
      <c r="B902" s="74"/>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row>
    <row r="903">
      <c r="A903" s="73"/>
      <c r="B903" s="74"/>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row>
    <row r="904">
      <c r="A904" s="73"/>
      <c r="B904" s="74"/>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row>
    <row r="905">
      <c r="A905" s="73"/>
      <c r="B905" s="74"/>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row>
    <row r="906">
      <c r="A906" s="73"/>
      <c r="B906" s="74"/>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row>
    <row r="907">
      <c r="A907" s="73"/>
      <c r="B907" s="74"/>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row>
    <row r="908">
      <c r="A908" s="73"/>
      <c r="B908" s="74"/>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row>
    <row r="909">
      <c r="A909" s="73"/>
      <c r="B909" s="74"/>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row>
    <row r="910">
      <c r="A910" s="73"/>
      <c r="B910" s="74"/>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row>
    <row r="911">
      <c r="A911" s="73"/>
      <c r="B911" s="74"/>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row>
    <row r="912">
      <c r="A912" s="73"/>
      <c r="B912" s="74"/>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row>
    <row r="913">
      <c r="A913" s="73"/>
      <c r="B913" s="74"/>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row>
    <row r="914">
      <c r="A914" s="73"/>
      <c r="B914" s="74"/>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row>
    <row r="915">
      <c r="A915" s="73"/>
      <c r="B915" s="74"/>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row>
    <row r="916">
      <c r="A916" s="73"/>
      <c r="B916" s="74"/>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row>
    <row r="917">
      <c r="A917" s="73"/>
      <c r="B917" s="74"/>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row>
    <row r="918">
      <c r="A918" s="73"/>
      <c r="B918" s="74"/>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row>
    <row r="919">
      <c r="A919" s="73"/>
      <c r="B919" s="74"/>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row>
    <row r="920">
      <c r="A920" s="73"/>
      <c r="B920" s="74"/>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row>
    <row r="921">
      <c r="A921" s="73"/>
      <c r="B921" s="74"/>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row>
    <row r="922">
      <c r="A922" s="73"/>
      <c r="B922" s="74"/>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row>
    <row r="923">
      <c r="A923" s="73"/>
      <c r="B923" s="74"/>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row>
    <row r="924">
      <c r="A924" s="73"/>
      <c r="B924" s="74"/>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row>
    <row r="925">
      <c r="A925" s="73"/>
      <c r="B925" s="74"/>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row>
    <row r="926">
      <c r="A926" s="73"/>
      <c r="B926" s="74"/>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row>
    <row r="927">
      <c r="A927" s="73"/>
      <c r="B927" s="74"/>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row>
    <row r="928">
      <c r="A928" s="73"/>
      <c r="B928" s="74"/>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row>
    <row r="929">
      <c r="A929" s="73"/>
      <c r="B929" s="74"/>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row>
    <row r="930">
      <c r="A930" s="73"/>
      <c r="B930" s="74"/>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row>
    <row r="931">
      <c r="A931" s="73"/>
      <c r="B931" s="74"/>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row>
    <row r="932">
      <c r="A932" s="73"/>
      <c r="B932" s="74"/>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row>
    <row r="933">
      <c r="A933" s="73"/>
      <c r="B933" s="74"/>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row>
    <row r="934">
      <c r="A934" s="73"/>
      <c r="B934" s="74"/>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row>
    <row r="935">
      <c r="A935" s="73"/>
      <c r="B935" s="74"/>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row>
    <row r="936">
      <c r="A936" s="73"/>
      <c r="B936" s="74"/>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row>
    <row r="937">
      <c r="A937" s="73"/>
      <c r="B937" s="74"/>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row>
    <row r="938">
      <c r="A938" s="73"/>
      <c r="B938" s="74"/>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row>
    <row r="939">
      <c r="A939" s="73"/>
      <c r="B939" s="74"/>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row>
    <row r="940">
      <c r="A940" s="73"/>
      <c r="B940" s="74"/>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row>
    <row r="941">
      <c r="A941" s="73"/>
      <c r="B941" s="74"/>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row>
    <row r="942">
      <c r="A942" s="73"/>
      <c r="B942" s="74"/>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row>
    <row r="943">
      <c r="A943" s="73"/>
      <c r="B943" s="74"/>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row>
    <row r="944">
      <c r="A944" s="73"/>
      <c r="B944" s="74"/>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row>
    <row r="945">
      <c r="A945" s="73"/>
      <c r="B945" s="74"/>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row>
    <row r="946">
      <c r="A946" s="73"/>
      <c r="B946" s="74"/>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row>
    <row r="947">
      <c r="A947" s="73"/>
      <c r="B947" s="74"/>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row>
    <row r="948">
      <c r="A948" s="73"/>
      <c r="B948" s="74"/>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row>
    <row r="949">
      <c r="A949" s="73"/>
      <c r="B949" s="74"/>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row>
    <row r="950">
      <c r="A950" s="73"/>
      <c r="B950" s="74"/>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row>
    <row r="951">
      <c r="A951" s="73"/>
      <c r="B951" s="74"/>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row>
    <row r="952">
      <c r="A952" s="73"/>
      <c r="B952" s="74"/>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row>
    <row r="953">
      <c r="A953" s="73"/>
      <c r="B953" s="74"/>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row>
    <row r="954">
      <c r="A954" s="73"/>
      <c r="B954" s="74"/>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row>
    <row r="955">
      <c r="A955" s="73"/>
      <c r="B955" s="74"/>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row>
    <row r="956">
      <c r="A956" s="73"/>
      <c r="B956" s="74"/>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row>
    <row r="957">
      <c r="A957" s="73"/>
      <c r="B957" s="74"/>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row>
    <row r="958">
      <c r="A958" s="73"/>
      <c r="B958" s="74"/>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row>
    <row r="959">
      <c r="A959" s="73"/>
      <c r="B959" s="74"/>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row>
    <row r="960">
      <c r="A960" s="73"/>
      <c r="B960" s="74"/>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row>
    <row r="961">
      <c r="A961" s="73"/>
      <c r="B961" s="74"/>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row>
    <row r="962">
      <c r="A962" s="73"/>
      <c r="B962" s="74"/>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row>
    <row r="963">
      <c r="A963" s="73"/>
      <c r="B963" s="74"/>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row>
    <row r="964">
      <c r="A964" s="73"/>
      <c r="B964" s="74"/>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row>
    <row r="965">
      <c r="A965" s="73"/>
      <c r="B965" s="74"/>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row>
    <row r="966">
      <c r="A966" s="73"/>
      <c r="B966" s="74"/>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row>
    <row r="967">
      <c r="A967" s="73"/>
      <c r="B967" s="74"/>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row>
    <row r="968">
      <c r="A968" s="73"/>
      <c r="B968" s="74"/>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row>
    <row r="969">
      <c r="A969" s="73"/>
      <c r="B969" s="74"/>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row>
    <row r="970">
      <c r="A970" s="73"/>
      <c r="B970" s="74"/>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row>
    <row r="971">
      <c r="A971" s="73"/>
      <c r="B971" s="74"/>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row>
    <row r="972">
      <c r="A972" s="73"/>
      <c r="B972" s="74"/>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row>
    <row r="973">
      <c r="A973" s="73"/>
      <c r="B973" s="74"/>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row>
    <row r="974">
      <c r="A974" s="73"/>
      <c r="B974" s="74"/>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row>
    <row r="975">
      <c r="A975" s="73"/>
      <c r="B975" s="74"/>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row>
    <row r="976">
      <c r="A976" s="73"/>
      <c r="B976" s="74"/>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row>
    <row r="977">
      <c r="A977" s="73"/>
      <c r="B977" s="74"/>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row>
    <row r="978">
      <c r="A978" s="73"/>
      <c r="B978" s="74"/>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row>
    <row r="979">
      <c r="A979" s="73"/>
      <c r="B979" s="74"/>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row>
    <row r="980">
      <c r="A980" s="73"/>
      <c r="B980" s="74"/>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row>
    <row r="981">
      <c r="A981" s="73"/>
      <c r="B981" s="74"/>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row>
    <row r="982">
      <c r="A982" s="73"/>
      <c r="B982" s="74"/>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row>
    <row r="983">
      <c r="A983" s="73"/>
      <c r="B983" s="74"/>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row>
    <row r="984">
      <c r="A984" s="73"/>
      <c r="B984" s="74"/>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row>
    <row r="985">
      <c r="A985" s="73"/>
      <c r="B985" s="74"/>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row>
    <row r="986">
      <c r="A986" s="73"/>
      <c r="B986" s="74"/>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row>
    <row r="987">
      <c r="A987" s="73"/>
      <c r="B987" s="74"/>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row>
    <row r="988">
      <c r="A988" s="73"/>
      <c r="B988" s="74"/>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row>
    <row r="989">
      <c r="A989" s="73"/>
      <c r="B989" s="74"/>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row>
    <row r="990">
      <c r="A990" s="73"/>
      <c r="B990" s="74"/>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row>
    <row r="991">
      <c r="A991" s="73"/>
      <c r="B991" s="74"/>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row>
    <row r="992">
      <c r="A992" s="73"/>
      <c r="B992" s="74"/>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row>
    <row r="993">
      <c r="A993" s="73"/>
      <c r="B993" s="74"/>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row>
    <row r="994">
      <c r="A994" s="73"/>
      <c r="B994" s="74"/>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row>
    <row r="995">
      <c r="A995" s="73"/>
      <c r="B995" s="74"/>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row>
    <row r="996">
      <c r="A996" s="73"/>
      <c r="B996" s="74"/>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row>
    <row r="997">
      <c r="A997" s="73"/>
      <c r="B997" s="74"/>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row>
    <row r="998">
      <c r="A998" s="73"/>
      <c r="B998" s="74"/>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row>
    <row r="999">
      <c r="A999" s="73"/>
      <c r="B999" s="74"/>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row>
    <row r="1000">
      <c r="A1000" s="73"/>
      <c r="B1000" s="74"/>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row>
    <row r="1001">
      <c r="A1001" s="73"/>
      <c r="B1001" s="74"/>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row>
  </sheetData>
  <mergeCells count="11">
    <mergeCell ref="X1:Y1"/>
    <mergeCell ref="Z1:AA1"/>
    <mergeCell ref="AB1:AC1"/>
    <mergeCell ref="AD1:AE1"/>
    <mergeCell ref="A1:A2"/>
    <mergeCell ref="B1:B2"/>
    <mergeCell ref="C1:F1"/>
    <mergeCell ref="G1:O1"/>
    <mergeCell ref="P1:S1"/>
    <mergeCell ref="T1:U1"/>
    <mergeCell ref="V1:W1"/>
  </mergeCells>
  <conditionalFormatting sqref="C3:F1001 G3:AE17">
    <cfRule type="cellIs" dxfId="0" priority="1" operator="greaterThan">
      <formula>0</formula>
    </cfRule>
  </conditionalFormatting>
  <conditionalFormatting sqref="N3:AE1001">
    <cfRule type="cellIs" dxfId="0" priority="2" operator="greater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14.13"/>
    <col customWidth="1" min="8" max="9" width="22.0"/>
    <col customWidth="1" min="10" max="10" width="19.5"/>
    <col customWidth="1" min="18" max="18" width="14.25"/>
    <col customWidth="1" min="21" max="21" width="11.5"/>
    <col customWidth="1" min="22" max="22" width="13.88"/>
  </cols>
  <sheetData>
    <row r="1">
      <c r="A1" s="22" t="s">
        <v>1</v>
      </c>
      <c r="B1" s="23" t="s">
        <v>2</v>
      </c>
      <c r="C1" s="3"/>
      <c r="D1" s="3"/>
      <c r="E1" s="4"/>
      <c r="F1" s="24" t="s">
        <v>3</v>
      </c>
      <c r="G1" s="3"/>
      <c r="H1" s="3"/>
      <c r="I1" s="3"/>
      <c r="J1" s="3"/>
      <c r="K1" s="3"/>
      <c r="L1" s="3"/>
      <c r="M1" s="3"/>
      <c r="N1" s="4"/>
      <c r="O1" s="6" t="s">
        <v>4</v>
      </c>
      <c r="P1" s="3"/>
      <c r="Q1" s="3"/>
      <c r="R1" s="4"/>
      <c r="S1" s="25" t="s">
        <v>5</v>
      </c>
      <c r="T1" s="3"/>
      <c r="U1" s="26" t="s">
        <v>36</v>
      </c>
      <c r="V1" s="4"/>
      <c r="W1" s="27" t="s">
        <v>6</v>
      </c>
      <c r="X1" s="4"/>
      <c r="Y1" s="27" t="s">
        <v>7</v>
      </c>
      <c r="Z1" s="4"/>
      <c r="AA1" s="27" t="s">
        <v>8</v>
      </c>
      <c r="AB1" s="4"/>
      <c r="AC1" s="27" t="s">
        <v>9</v>
      </c>
      <c r="AD1" s="4"/>
    </row>
    <row r="2">
      <c r="A2" s="9"/>
      <c r="B2" s="28" t="s">
        <v>10</v>
      </c>
      <c r="C2" s="28" t="s">
        <v>11</v>
      </c>
      <c r="D2" s="28" t="s">
        <v>12</v>
      </c>
      <c r="E2" s="29" t="s">
        <v>13</v>
      </c>
      <c r="F2" s="30" t="s">
        <v>14</v>
      </c>
      <c r="G2" s="30" t="s">
        <v>15</v>
      </c>
      <c r="H2" s="31" t="s">
        <v>16</v>
      </c>
      <c r="I2" s="22" t="s">
        <v>17</v>
      </c>
      <c r="J2" s="22" t="s">
        <v>18</v>
      </c>
      <c r="K2" s="31" t="s">
        <v>19</v>
      </c>
      <c r="L2" s="22" t="s">
        <v>20</v>
      </c>
      <c r="M2" s="31" t="s">
        <v>21</v>
      </c>
      <c r="N2" s="31" t="s">
        <v>22</v>
      </c>
      <c r="O2" s="28" t="s">
        <v>23</v>
      </c>
      <c r="P2" s="28" t="s">
        <v>24</v>
      </c>
      <c r="Q2" s="28" t="s">
        <v>25</v>
      </c>
      <c r="R2" s="28" t="s">
        <v>26</v>
      </c>
      <c r="S2" s="28" t="s">
        <v>28</v>
      </c>
      <c r="T2" s="28" t="s">
        <v>25</v>
      </c>
      <c r="U2" s="32" t="s">
        <v>37</v>
      </c>
      <c r="V2" s="32" t="s">
        <v>25</v>
      </c>
      <c r="W2" s="28" t="s">
        <v>30</v>
      </c>
      <c r="X2" s="28" t="s">
        <v>31</v>
      </c>
      <c r="Y2" s="28" t="s">
        <v>30</v>
      </c>
      <c r="Z2" s="28" t="s">
        <v>31</v>
      </c>
      <c r="AA2" s="28" t="s">
        <v>30</v>
      </c>
      <c r="AB2" s="28" t="s">
        <v>31</v>
      </c>
      <c r="AC2" s="28" t="s">
        <v>30</v>
      </c>
      <c r="AD2" s="28" t="s">
        <v>31</v>
      </c>
    </row>
    <row r="3">
      <c r="A3" s="76">
        <v>12.0</v>
      </c>
      <c r="B3" s="47">
        <f>SUM('BC NGÀY 1'!C3:C31)</f>
        <v>1</v>
      </c>
      <c r="C3" s="47">
        <f>SUM('BC NGÀY 1'!D3:D31)</f>
        <v>5</v>
      </c>
      <c r="D3" s="47">
        <f>SUM('BC NGÀY 1'!E3:E31)</f>
        <v>1</v>
      </c>
      <c r="E3" s="47">
        <f>SUM('BC NGÀY 1'!F3:F31)</f>
        <v>2</v>
      </c>
      <c r="F3" s="47">
        <f>SUM('BC NGÀY 1'!G3:G31)</f>
        <v>38</v>
      </c>
      <c r="G3" s="47">
        <f>SUM('BC NGÀY 1'!H3:H31)</f>
        <v>80</v>
      </c>
      <c r="H3" s="47">
        <f>SUM('BC NGÀY 1'!I3:I31)</f>
        <v>1</v>
      </c>
      <c r="I3" s="47">
        <f>SUM('BC NGÀY 1'!J3:J31)</f>
        <v>758</v>
      </c>
      <c r="J3" s="47">
        <f>SUM('BC NGÀY 1'!K3:K31)</f>
        <v>3</v>
      </c>
      <c r="K3" s="47">
        <f>SUM('BC NGÀY 1'!L3:L31)</f>
        <v>2</v>
      </c>
      <c r="L3" s="47">
        <f>SUM('BC NGÀY 1'!M3:M31)</f>
        <v>134</v>
      </c>
      <c r="M3" s="47">
        <f>SUM('BC NGÀY 1'!N3:N31)</f>
        <v>0</v>
      </c>
      <c r="N3" s="47">
        <f>SUM('BC NGÀY 1'!O3:O31)</f>
        <v>0</v>
      </c>
      <c r="O3" s="47">
        <f>SUM('BC NGÀY 1'!P3:P31)</f>
        <v>1</v>
      </c>
      <c r="P3" s="47">
        <f>SUM('BC NGÀY 1'!Q3:Q31)</f>
        <v>4</v>
      </c>
      <c r="Q3" s="47">
        <f>SUM('BC NGÀY 1'!R3:R31)</f>
        <v>1975</v>
      </c>
      <c r="R3" s="47">
        <f>SUM('BC NGÀY 1'!S3:S31)</f>
        <v>200</v>
      </c>
      <c r="S3" s="47">
        <f>SUM('BC NGÀY 1'!T3:T31)</f>
        <v>27</v>
      </c>
      <c r="T3" s="47">
        <f>SUM('BC NGÀY 1'!U3:U31)</f>
        <v>1395</v>
      </c>
      <c r="U3" s="47">
        <f t="shared" ref="U3:V3" si="1">P3+S3</f>
        <v>31</v>
      </c>
      <c r="V3" s="47">
        <f t="shared" si="1"/>
        <v>3370</v>
      </c>
      <c r="W3" s="47">
        <f>SUM('BC NGÀY 1'!X3:X31)</f>
        <v>118</v>
      </c>
      <c r="X3" s="47">
        <f>SUM('BC NGÀY 1'!Y3:Y31)</f>
        <v>0</v>
      </c>
      <c r="Y3" s="47">
        <f>SUM('BC NGÀY 1'!Z3:Z31)</f>
        <v>4</v>
      </c>
      <c r="Z3" s="47">
        <f>SUM('BC NGÀY 1'!AA3:AA31)</f>
        <v>4</v>
      </c>
      <c r="AA3" s="47">
        <f>SUM('BC NGÀY 1'!AB3:AB31)</f>
        <v>0</v>
      </c>
      <c r="AB3" s="47">
        <f>SUM('BC NGÀY 1'!AC3:AC31)</f>
        <v>0</v>
      </c>
      <c r="AC3" s="47">
        <f>SUM('BC NGÀY 1'!AD3:AD31)</f>
        <v>0</v>
      </c>
      <c r="AD3" s="47">
        <f>SUM('BC NGÀY 1'!AE3:AE31)</f>
        <v>0</v>
      </c>
    </row>
    <row r="4">
      <c r="A4" s="77">
        <v>46023.0</v>
      </c>
      <c r="B4" s="47">
        <f>SUM('BC NGÀY 1'!C33:C63)</f>
        <v>0</v>
      </c>
      <c r="C4" s="47">
        <f>SUM('BC NGÀY 1'!D33:D63)</f>
        <v>15</v>
      </c>
      <c r="D4" s="47">
        <f>SUM('BC NGÀY 1'!E33:E63)</f>
        <v>2</v>
      </c>
      <c r="E4" s="47">
        <f>SUM('BC NGÀY 1'!F33:F63)</f>
        <v>2</v>
      </c>
      <c r="F4" s="63">
        <f>SUM('BC NGÀY 1'!G33:G63)</f>
        <v>115</v>
      </c>
      <c r="G4" s="47">
        <f>SUM('BC NGÀY 1'!H33:H63)</f>
        <v>51</v>
      </c>
      <c r="H4" s="64">
        <f>SUM('BC NGÀY 1'!I33:I63)</f>
        <v>2</v>
      </c>
      <c r="I4" s="47">
        <f>SUM('BC NGÀY 1'!J33:J63)</f>
        <v>1087</v>
      </c>
      <c r="J4" s="47">
        <f>SUM('BC NGÀY 1'!K33:K63)</f>
        <v>5</v>
      </c>
      <c r="K4" s="47">
        <f>SUM('BC NGÀY 1'!L33:L63)</f>
        <v>5</v>
      </c>
      <c r="L4" s="47">
        <f>SUM('BC NGÀY 1'!M33:M63)</f>
        <v>112</v>
      </c>
      <c r="M4" s="47">
        <f>SUM('BC NGÀY 1'!N33:N63)</f>
        <v>0</v>
      </c>
      <c r="N4" s="35">
        <v>2.0</v>
      </c>
      <c r="O4" s="47">
        <f>SUM('BC NGÀY 1'!P33:P63)</f>
        <v>11</v>
      </c>
      <c r="P4" s="47">
        <f>SUM('BC NGÀY 1'!Q33:Q63)</f>
        <v>23</v>
      </c>
      <c r="Q4" s="47">
        <f>SUM('BC NGÀY 1'!R33:R63)</f>
        <v>5863</v>
      </c>
      <c r="R4" s="47">
        <f>SUM('BC NGÀY 1'!S33:S63)</f>
        <v>6200</v>
      </c>
      <c r="S4" s="47">
        <f>SUM('BC NGÀY 1'!T33:T63)</f>
        <v>104</v>
      </c>
      <c r="T4" s="47">
        <f>SUM('BC NGÀY 1'!U33:U63)</f>
        <v>4331</v>
      </c>
      <c r="U4" s="47">
        <f>SUM('BC NGÀY 1'!V33:V63)</f>
        <v>127</v>
      </c>
      <c r="V4" s="47">
        <f>SUM('BC NGÀY 1'!W33:W63)</f>
        <v>10194</v>
      </c>
      <c r="W4" s="47">
        <f>SUM('BC NGÀY 1'!X33:X63)</f>
        <v>147</v>
      </c>
      <c r="X4" s="47">
        <f>SUM('BC NGÀY 1'!Y33:Y63)</f>
        <v>147</v>
      </c>
      <c r="Y4" s="47">
        <f>SUM('BC NGÀY 1'!Z33:Z63)</f>
        <v>18</v>
      </c>
      <c r="Z4" s="47">
        <f>SUM('BC NGÀY 1'!AA33:AA63)</f>
        <v>18</v>
      </c>
      <c r="AA4" s="47">
        <f>SUM('BC NGÀY 1'!AB33:AB63)</f>
        <v>0</v>
      </c>
      <c r="AB4" s="47">
        <f>SUM('BC NGÀY 1'!AC33:AC63)</f>
        <v>0</v>
      </c>
      <c r="AC4" s="47">
        <f>SUM('BC NGÀY 1'!AD33:AD63)</f>
        <v>0</v>
      </c>
      <c r="AD4" s="47">
        <f>SUM('BC NGÀY 1'!AE33:AE63)</f>
        <v>0</v>
      </c>
    </row>
    <row r="5">
      <c r="A5" s="78">
        <v>46054.0</v>
      </c>
      <c r="B5" s="47">
        <f>SUM('BC NGÀY 1'!C64:C93)</f>
        <v>2</v>
      </c>
      <c r="C5" s="47">
        <f>SUM('BC NGÀY 1'!D64:D93)</f>
        <v>39</v>
      </c>
      <c r="D5" s="47">
        <f>SUM('BC NGÀY 1'!E64:E93)</f>
        <v>1</v>
      </c>
      <c r="E5" s="47">
        <f>SUM('BC NGÀY 1'!F64:F93)</f>
        <v>1</v>
      </c>
      <c r="F5" s="47">
        <f>SUM('BC NGÀY 1'!G64:G93)</f>
        <v>206</v>
      </c>
      <c r="G5" s="47">
        <f>SUM('BC NGÀY 1'!H64:H93)</f>
        <v>75</v>
      </c>
      <c r="H5" s="47">
        <f>SUM('BC NGÀY 1'!I64:I93)</f>
        <v>4</v>
      </c>
      <c r="I5" s="47">
        <f>SUM('BC NGÀY 1'!J64:J93)</f>
        <v>2012</v>
      </c>
      <c r="J5" s="47">
        <f>SUM('BC NGÀY 1'!K64:K93)</f>
        <v>11</v>
      </c>
      <c r="K5" s="47">
        <f>SUM('BC NGÀY 1'!L64:L93)</f>
        <v>11</v>
      </c>
      <c r="L5" s="47">
        <f>SUM('BC NGÀY 1'!M64:M93)</f>
        <v>170</v>
      </c>
      <c r="M5" s="47">
        <f>SUM('BC NGÀY 1'!N64:N93)</f>
        <v>0</v>
      </c>
      <c r="N5" s="47">
        <f>SUM('BC NGÀY 1'!O64:O93)</f>
        <v>0</v>
      </c>
      <c r="O5" s="47">
        <f>SUM('BC NGÀY 1'!P64:P93)</f>
        <v>7</v>
      </c>
      <c r="P5" s="47">
        <f>SUM('BC NGÀY 1'!Q64:Q93)</f>
        <v>13</v>
      </c>
      <c r="Q5" s="47">
        <f>SUM('BC NGÀY 1'!R64:R93)</f>
        <v>5915</v>
      </c>
      <c r="R5" s="47">
        <f>SUM('BC NGÀY 1'!S64:S93)</f>
        <v>5915</v>
      </c>
      <c r="S5" s="47">
        <f>SUM('BC NGÀY 1'!T64:T93)</f>
        <v>57</v>
      </c>
      <c r="T5" s="47">
        <f>SUM('BC NGÀY 1'!U64:U93)</f>
        <v>2748</v>
      </c>
      <c r="U5" s="47">
        <f>SUM('BC NGÀY 1'!V64:V93)</f>
        <v>70</v>
      </c>
      <c r="V5" s="47">
        <f>SUM('BC NGÀY 1'!W64:W93)</f>
        <v>8663</v>
      </c>
      <c r="W5" s="47">
        <f>SUM('BC NGÀY 1'!X64:X93)</f>
        <v>277</v>
      </c>
      <c r="X5" s="47">
        <f>SUM('BC NGÀY 1'!Y64:Y93)</f>
        <v>277</v>
      </c>
      <c r="Y5" s="47">
        <f>SUM('BC NGÀY 1'!Z64:Z93)</f>
        <v>24</v>
      </c>
      <c r="Z5" s="47">
        <f>SUM('BC NGÀY 1'!AA64:AA93)</f>
        <v>24</v>
      </c>
      <c r="AA5" s="47">
        <f>SUM('BC NGÀY 1'!AB64:AB93)</f>
        <v>0</v>
      </c>
      <c r="AB5" s="47">
        <f>SUM('BC NGÀY 1'!AC64:AC93)</f>
        <v>0</v>
      </c>
      <c r="AC5" s="47">
        <f>SUM('BC NGÀY 1'!AD64:AD93)</f>
        <v>0</v>
      </c>
      <c r="AD5" s="47">
        <f>SUM('BC NGÀY 1'!AE64:AE93)</f>
        <v>0</v>
      </c>
    </row>
    <row r="6">
      <c r="A6" s="75"/>
      <c r="B6" s="75"/>
      <c r="C6" s="75"/>
      <c r="D6" s="75"/>
      <c r="E6" s="75"/>
      <c r="F6" s="79"/>
      <c r="G6" s="75"/>
      <c r="H6" s="79"/>
      <c r="I6" s="75"/>
      <c r="J6" s="75"/>
      <c r="K6" s="75"/>
      <c r="L6" s="75"/>
      <c r="M6" s="75"/>
      <c r="N6" s="75"/>
      <c r="O6" s="75"/>
      <c r="P6" s="75"/>
      <c r="Q6" s="75"/>
      <c r="R6" s="75"/>
      <c r="S6" s="75"/>
      <c r="T6" s="75"/>
      <c r="U6" s="75"/>
      <c r="V6" s="75"/>
      <c r="W6" s="75"/>
      <c r="X6" s="75"/>
      <c r="Y6" s="75"/>
      <c r="Z6" s="75"/>
      <c r="AA6" s="75"/>
      <c r="AB6" s="75"/>
      <c r="AC6" s="75"/>
      <c r="AD6" s="75"/>
    </row>
    <row r="7">
      <c r="A7" s="75"/>
      <c r="B7" s="75"/>
      <c r="C7" s="75"/>
      <c r="D7" s="75"/>
      <c r="E7" s="75"/>
      <c r="F7" s="75"/>
      <c r="G7" s="79"/>
      <c r="H7" s="75"/>
      <c r="I7" s="75"/>
      <c r="J7" s="75"/>
      <c r="K7" s="75"/>
      <c r="L7" s="75"/>
      <c r="M7" s="75"/>
      <c r="N7" s="75"/>
      <c r="O7" s="75"/>
      <c r="P7" s="75"/>
      <c r="Q7" s="75"/>
      <c r="R7" s="75"/>
      <c r="S7" s="75"/>
      <c r="T7" s="75"/>
      <c r="U7" s="75"/>
      <c r="V7" s="75"/>
      <c r="W7" s="75"/>
      <c r="X7" s="75"/>
      <c r="Y7" s="75"/>
      <c r="Z7" s="75"/>
      <c r="AA7" s="75"/>
      <c r="AB7" s="75"/>
      <c r="AC7" s="75"/>
      <c r="AD7" s="75"/>
    </row>
    <row r="8">
      <c r="A8" s="75"/>
      <c r="B8" s="75"/>
      <c r="C8" s="75"/>
      <c r="D8" s="75"/>
      <c r="E8" s="75"/>
      <c r="F8" s="75"/>
      <c r="G8" s="79"/>
      <c r="H8" s="75"/>
      <c r="I8" s="75"/>
      <c r="J8" s="75"/>
      <c r="K8" s="75"/>
      <c r="L8" s="75"/>
      <c r="M8" s="75"/>
      <c r="N8" s="75"/>
      <c r="O8" s="75"/>
      <c r="P8" s="75"/>
      <c r="Q8" s="75"/>
      <c r="R8" s="75"/>
      <c r="S8" s="75"/>
      <c r="T8" s="75"/>
      <c r="U8" s="75"/>
      <c r="V8" s="75"/>
      <c r="W8" s="75"/>
      <c r="X8" s="75"/>
      <c r="Y8" s="75"/>
      <c r="Z8" s="75"/>
      <c r="AA8" s="75"/>
      <c r="AB8" s="75"/>
      <c r="AC8" s="75"/>
      <c r="AD8" s="75"/>
    </row>
    <row r="9">
      <c r="A9" s="75"/>
      <c r="B9" s="75"/>
      <c r="C9" s="75"/>
      <c r="D9" s="75"/>
      <c r="E9" s="75"/>
      <c r="F9" s="75"/>
      <c r="G9" s="79"/>
      <c r="H9" s="75"/>
      <c r="I9" s="75"/>
      <c r="J9" s="75"/>
      <c r="K9" s="75"/>
      <c r="L9" s="75"/>
      <c r="M9" s="75"/>
      <c r="N9" s="75"/>
      <c r="O9" s="75"/>
      <c r="P9" s="75"/>
      <c r="Q9" s="75"/>
      <c r="R9" s="75"/>
      <c r="S9" s="75"/>
      <c r="T9" s="75"/>
      <c r="U9" s="75"/>
      <c r="V9" s="75"/>
      <c r="W9" s="75"/>
      <c r="X9" s="75"/>
      <c r="Y9" s="75"/>
      <c r="Z9" s="75"/>
      <c r="AA9" s="75"/>
      <c r="AB9" s="75"/>
      <c r="AC9" s="75"/>
      <c r="AD9" s="75"/>
    </row>
    <row r="10">
      <c r="A10" s="75"/>
      <c r="B10" s="75"/>
      <c r="C10" s="75"/>
      <c r="D10" s="75"/>
      <c r="E10" s="75"/>
      <c r="F10" s="75"/>
      <c r="G10" s="79"/>
      <c r="H10" s="75"/>
      <c r="I10" s="75"/>
      <c r="J10" s="75"/>
      <c r="K10" s="75"/>
      <c r="L10" s="75"/>
      <c r="M10" s="75"/>
      <c r="N10" s="75"/>
      <c r="O10" s="75"/>
      <c r="P10" s="75"/>
      <c r="Q10" s="75"/>
      <c r="R10" s="75"/>
      <c r="S10" s="75"/>
      <c r="T10" s="75"/>
      <c r="U10" s="75"/>
      <c r="V10" s="75"/>
      <c r="W10" s="75"/>
      <c r="X10" s="75"/>
      <c r="Y10" s="75"/>
      <c r="Z10" s="75"/>
      <c r="AA10" s="75"/>
      <c r="AB10" s="75"/>
      <c r="AC10" s="75"/>
      <c r="AD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row>
    <row r="29">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row>
    <row r="3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row>
  </sheetData>
  <mergeCells count="10">
    <mergeCell ref="Y1:Z1"/>
    <mergeCell ref="AA1:AB1"/>
    <mergeCell ref="AC1:AD1"/>
    <mergeCell ref="A1:A2"/>
    <mergeCell ref="B1:E1"/>
    <mergeCell ref="F1:N1"/>
    <mergeCell ref="O1:R1"/>
    <mergeCell ref="S1:T1"/>
    <mergeCell ref="U1:V1"/>
    <mergeCell ref="W1:X1"/>
  </mergeCells>
  <conditionalFormatting sqref="B3:AD5">
    <cfRule type="cellIs" dxfId="0" priority="1" operator="greater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3.38"/>
    <col customWidth="1" min="2" max="2" width="15.0"/>
    <col customWidth="1" min="4" max="4" width="17.5"/>
  </cols>
  <sheetData>
    <row r="1">
      <c r="A1" s="80" t="s">
        <v>0</v>
      </c>
      <c r="B1" s="81" t="s">
        <v>95</v>
      </c>
      <c r="C1" s="82" t="s">
        <v>2</v>
      </c>
      <c r="D1" s="3"/>
      <c r="E1" s="3"/>
      <c r="F1" s="4"/>
      <c r="G1" s="83" t="s">
        <v>3</v>
      </c>
      <c r="H1" s="3"/>
      <c r="I1" s="3"/>
      <c r="J1" s="3"/>
      <c r="K1" s="3"/>
      <c r="L1" s="3"/>
      <c r="M1" s="3"/>
      <c r="N1" s="3"/>
      <c r="O1" s="4"/>
      <c r="P1" s="84" t="s">
        <v>4</v>
      </c>
      <c r="Q1" s="3"/>
      <c r="R1" s="3"/>
      <c r="S1" s="4"/>
      <c r="T1" s="84" t="s">
        <v>5</v>
      </c>
      <c r="U1" s="3"/>
      <c r="V1" s="85" t="s">
        <v>36</v>
      </c>
      <c r="W1" s="4"/>
      <c r="X1" s="86" t="s">
        <v>6</v>
      </c>
      <c r="Y1" s="4"/>
      <c r="Z1" s="86" t="s">
        <v>7</v>
      </c>
      <c r="AA1" s="4"/>
      <c r="AB1" s="86" t="s">
        <v>8</v>
      </c>
      <c r="AC1" s="4"/>
      <c r="AD1" s="86" t="s">
        <v>9</v>
      </c>
      <c r="AE1" s="4"/>
    </row>
    <row r="2" ht="99.0" customHeight="1">
      <c r="A2" s="9"/>
      <c r="B2" s="9"/>
      <c r="C2" s="87" t="s">
        <v>10</v>
      </c>
      <c r="D2" s="87" t="s">
        <v>11</v>
      </c>
      <c r="E2" s="87" t="s">
        <v>12</v>
      </c>
      <c r="F2" s="88" t="s">
        <v>13</v>
      </c>
      <c r="G2" s="89" t="s">
        <v>14</v>
      </c>
      <c r="H2" s="89" t="s">
        <v>15</v>
      </c>
      <c r="I2" s="81" t="s">
        <v>16</v>
      </c>
      <c r="J2" s="80" t="s">
        <v>17</v>
      </c>
      <c r="K2" s="80" t="s">
        <v>18</v>
      </c>
      <c r="L2" s="81" t="s">
        <v>19</v>
      </c>
      <c r="M2" s="80" t="s">
        <v>20</v>
      </c>
      <c r="N2" s="81" t="s">
        <v>21</v>
      </c>
      <c r="O2" s="81" t="s">
        <v>22</v>
      </c>
      <c r="P2" s="87" t="s">
        <v>23</v>
      </c>
      <c r="Q2" s="87" t="s">
        <v>24</v>
      </c>
      <c r="R2" s="87" t="s">
        <v>25</v>
      </c>
      <c r="S2" s="87" t="s">
        <v>26</v>
      </c>
      <c r="T2" s="87" t="s">
        <v>28</v>
      </c>
      <c r="U2" s="87" t="s">
        <v>25</v>
      </c>
      <c r="V2" s="90" t="s">
        <v>37</v>
      </c>
      <c r="W2" s="90" t="s">
        <v>25</v>
      </c>
      <c r="X2" s="87" t="s">
        <v>30</v>
      </c>
      <c r="Y2" s="87" t="s">
        <v>31</v>
      </c>
      <c r="Z2" s="87" t="s">
        <v>30</v>
      </c>
      <c r="AA2" s="87" t="s">
        <v>31</v>
      </c>
      <c r="AB2" s="87" t="s">
        <v>30</v>
      </c>
      <c r="AC2" s="87" t="s">
        <v>31</v>
      </c>
      <c r="AD2" s="87" t="s">
        <v>30</v>
      </c>
      <c r="AE2" s="87" t="s">
        <v>31</v>
      </c>
    </row>
    <row r="3">
      <c r="A3" s="91" t="s">
        <v>96</v>
      </c>
      <c r="B3" s="91" t="s">
        <v>97</v>
      </c>
      <c r="C3" s="92">
        <f>sum('BC NGÀY 1'!C33:C39)</f>
        <v>0</v>
      </c>
      <c r="D3" s="93">
        <v>3.0</v>
      </c>
      <c r="E3" s="92">
        <f>sum('BC NGÀY 1'!E33:E39)</f>
        <v>0</v>
      </c>
      <c r="F3" s="92">
        <f>sum('BC NGÀY 1'!F33:F39)</f>
        <v>0</v>
      </c>
      <c r="G3" s="93">
        <v>8.0</v>
      </c>
      <c r="H3" s="93">
        <v>2.0</v>
      </c>
      <c r="I3" s="92">
        <f>sum('BC NGÀY 1'!I33:I39)</f>
        <v>0</v>
      </c>
      <c r="J3" s="92">
        <f>sum('BC NGÀY 1'!J33:J39)</f>
        <v>151</v>
      </c>
      <c r="K3" s="92">
        <f>sum('BC NGÀY 1'!K33:K39)</f>
        <v>1</v>
      </c>
      <c r="L3" s="92">
        <f>sum('BC NGÀY 1'!L33:L39)</f>
        <v>1</v>
      </c>
      <c r="M3" s="92">
        <f>sum('BC NGÀY 1'!M33:M39)</f>
        <v>4</v>
      </c>
      <c r="N3" s="92">
        <f>sum('BC NGÀY 1'!N33:N39)</f>
        <v>0</v>
      </c>
      <c r="O3" s="92">
        <f>sum('BC NGÀY 1'!O33:O39)</f>
        <v>0</v>
      </c>
      <c r="P3" s="92">
        <f>sum('BC NGÀY 1'!P33:P39)</f>
        <v>0</v>
      </c>
      <c r="Q3" s="92">
        <f>sum('BC NGÀY 1'!Q33:Q39)</f>
        <v>1</v>
      </c>
      <c r="R3" s="92">
        <f>sum('BC NGÀY 1'!R33:R39)</f>
        <v>1900</v>
      </c>
      <c r="S3" s="92">
        <f>sum('BC NGÀY 1'!S33:S39)</f>
        <v>0</v>
      </c>
      <c r="T3" s="92">
        <f>sum('BC NGÀY 1'!T33:T39)</f>
        <v>27</v>
      </c>
      <c r="U3" s="92">
        <f>sum('BC NGÀY 1'!U33:U39)</f>
        <v>1153</v>
      </c>
      <c r="V3" s="92">
        <f>sum('BC NGÀY 1'!V33:V39)</f>
        <v>28</v>
      </c>
      <c r="W3" s="92">
        <f>sum('BC NGÀY 1'!W33:W39)</f>
        <v>3053</v>
      </c>
      <c r="X3" s="93">
        <v>10.0</v>
      </c>
      <c r="Y3" s="93">
        <v>10.0</v>
      </c>
      <c r="Z3" s="92">
        <f>sum('BC NGÀY 1'!Z33:Z39)</f>
        <v>8</v>
      </c>
      <c r="AA3" s="92">
        <f>sum('BC NGÀY 1'!AA33:AA39)</f>
        <v>8</v>
      </c>
      <c r="AB3" s="92">
        <f>sum('BC NGÀY 1'!AB33:AB39)</f>
        <v>0</v>
      </c>
      <c r="AC3" s="92">
        <f>sum('BC NGÀY 1'!AC33:AC39)</f>
        <v>0</v>
      </c>
      <c r="AD3" s="92">
        <f>sum('BC NGÀY 1'!AD33:AD39)</f>
        <v>0</v>
      </c>
      <c r="AE3" s="92">
        <f>sum('BC NGÀY 1'!AE33:AE39)</f>
        <v>0</v>
      </c>
    </row>
    <row r="4">
      <c r="A4" s="91" t="s">
        <v>98</v>
      </c>
      <c r="B4" s="91" t="s">
        <v>99</v>
      </c>
      <c r="C4" s="92">
        <f>sum('BC NGÀY 1'!C40:C48)</f>
        <v>0</v>
      </c>
      <c r="D4" s="93">
        <v>2.0</v>
      </c>
      <c r="E4" s="92">
        <f>sum('BC NGÀY 1'!E40:E48)</f>
        <v>1</v>
      </c>
      <c r="F4" s="92">
        <f>sum('BC NGÀY 1'!F40:F48)</f>
        <v>1</v>
      </c>
      <c r="G4" s="94">
        <f>sum('BC NGÀY 1'!G40:G48)</f>
        <v>12</v>
      </c>
      <c r="H4" s="94">
        <f>sum('BC NGÀY 1'!H40:H48)</f>
        <v>6</v>
      </c>
      <c r="I4" s="92">
        <f>sum('BC NGÀY 1'!I40:I48)</f>
        <v>0</v>
      </c>
      <c r="J4" s="92">
        <f>sum('BC NGÀY 1'!J40:J48)</f>
        <v>24</v>
      </c>
      <c r="K4" s="92">
        <f>sum('BC NGÀY 1'!K40:K48)</f>
        <v>0</v>
      </c>
      <c r="L4" s="92">
        <f>sum('BC NGÀY 1'!L40:L48)</f>
        <v>0</v>
      </c>
      <c r="M4" s="92">
        <f>sum('BC NGÀY 1'!M40:M48)</f>
        <v>0</v>
      </c>
      <c r="N4" s="92">
        <f>sum('BC NGÀY 1'!N40:N48)</f>
        <v>0</v>
      </c>
      <c r="O4" s="92">
        <f>sum('BC NGÀY 1'!O40:O48)</f>
        <v>0</v>
      </c>
      <c r="P4" s="92">
        <f>sum('BC NGÀY 1'!P40:P48)</f>
        <v>6</v>
      </c>
      <c r="Q4" s="92">
        <f>sum('BC NGÀY 1'!Q40:Q48)</f>
        <v>12</v>
      </c>
      <c r="R4" s="92">
        <f>sum('BC NGÀY 1'!R40:R48)</f>
        <v>2388</v>
      </c>
      <c r="S4" s="92">
        <f>sum('BC NGÀY 1'!S40:S48)</f>
        <v>2560</v>
      </c>
      <c r="T4" s="92">
        <f>sum('BC NGÀY 1'!T40:T48)</f>
        <v>37</v>
      </c>
      <c r="U4" s="92">
        <f>sum('BC NGÀY 1'!U40:U48)</f>
        <v>1735</v>
      </c>
      <c r="V4" s="92">
        <f>sum('BC NGÀY 1'!V40:V48)</f>
        <v>49</v>
      </c>
      <c r="W4" s="92">
        <f>sum('BC NGÀY 1'!W40:W48)</f>
        <v>4123</v>
      </c>
      <c r="X4" s="93">
        <v>18.0</v>
      </c>
      <c r="Y4" s="93">
        <v>18.0</v>
      </c>
      <c r="Z4" s="92">
        <f>sum('BC NGÀY 1'!Z40:Z48)</f>
        <v>8</v>
      </c>
      <c r="AA4" s="92">
        <f>sum('BC NGÀY 1'!AA40:AA48)</f>
        <v>8</v>
      </c>
      <c r="AB4" s="92">
        <f>sum('BC NGÀY 1'!AB40:AB48)</f>
        <v>0</v>
      </c>
      <c r="AC4" s="92">
        <f>sum('BC NGÀY 1'!AC40:AC48)</f>
        <v>0</v>
      </c>
      <c r="AD4" s="92">
        <f>sum('BC NGÀY 1'!AD40:AD48)</f>
        <v>0</v>
      </c>
      <c r="AE4" s="92">
        <f>sum('BC NGÀY 1'!AE40:AE48)</f>
        <v>0</v>
      </c>
    </row>
    <row r="5">
      <c r="A5" s="95" t="s">
        <v>100</v>
      </c>
      <c r="B5" s="95" t="s">
        <v>101</v>
      </c>
      <c r="C5" s="92">
        <f>sum('BC NGÀY 1'!C33:C48)</f>
        <v>0</v>
      </c>
      <c r="D5" s="92">
        <f>sum('BC NGÀY 1'!D33:D48)</f>
        <v>5</v>
      </c>
      <c r="E5" s="92">
        <f>sum('BC NGÀY 1'!E33:E48)</f>
        <v>1</v>
      </c>
      <c r="F5" s="92">
        <f>sum('BC NGÀY 1'!F33:F48)</f>
        <v>1</v>
      </c>
      <c r="G5" s="93">
        <v>20.0</v>
      </c>
      <c r="H5" s="93">
        <v>8.0</v>
      </c>
      <c r="I5" s="92">
        <f>sum('BC NGÀY 1'!I33:I48)</f>
        <v>0</v>
      </c>
      <c r="J5" s="92">
        <f>sum('BC NGÀY 1'!J33:J48)</f>
        <v>175</v>
      </c>
      <c r="K5" s="92">
        <f>sum('BC NGÀY 1'!K33:K48)</f>
        <v>1</v>
      </c>
      <c r="L5" s="92">
        <f>sum('BC NGÀY 1'!L33:L48)</f>
        <v>1</v>
      </c>
      <c r="M5" s="92">
        <f>sum('BC NGÀY 1'!M33:M48)</f>
        <v>4</v>
      </c>
      <c r="N5" s="92">
        <f>sum('BC NGÀY 1'!N33:N48)</f>
        <v>0</v>
      </c>
      <c r="O5" s="92">
        <f>sum('BC NGÀY 1'!O33:O48)</f>
        <v>0</v>
      </c>
      <c r="P5" s="92">
        <f>sum('BC NGÀY 1'!P33:P48)</f>
        <v>6</v>
      </c>
      <c r="Q5" s="92">
        <f>sum('BC NGÀY 1'!Q33:Q48)</f>
        <v>13</v>
      </c>
      <c r="R5" s="92">
        <f>sum('BC NGÀY 1'!R33:R48)</f>
        <v>4288</v>
      </c>
      <c r="S5" s="92">
        <f>sum('BC NGÀY 1'!S33:S48)</f>
        <v>2560</v>
      </c>
      <c r="T5" s="92">
        <f>sum('BC NGÀY 1'!T33:T48)</f>
        <v>64</v>
      </c>
      <c r="U5" s="92">
        <f>sum('BC NGÀY 1'!U33:U48)</f>
        <v>2888</v>
      </c>
      <c r="V5" s="92">
        <f>sum('BC NGÀY 1'!V33:V48)</f>
        <v>77</v>
      </c>
      <c r="W5" s="92">
        <f>sum('BC NGÀY 1'!W33:W48)</f>
        <v>7176</v>
      </c>
      <c r="X5" s="93">
        <v>28.0</v>
      </c>
      <c r="Y5" s="93">
        <v>28.0</v>
      </c>
      <c r="Z5" s="92">
        <f>sum('BC NGÀY 1'!Z33:Z48)</f>
        <v>16</v>
      </c>
      <c r="AA5" s="92">
        <f>sum('BC NGÀY 1'!AA33:AA48)</f>
        <v>16</v>
      </c>
      <c r="AB5" s="92">
        <f>sum('BC NGÀY 1'!AB33:AB48)</f>
        <v>0</v>
      </c>
      <c r="AC5" s="92">
        <f>sum('BC NGÀY 1'!AC33:AC48)</f>
        <v>0</v>
      </c>
      <c r="AD5" s="92">
        <f>sum('BC NGÀY 1'!AD33:AD48)</f>
        <v>0</v>
      </c>
      <c r="AE5" s="92">
        <f>sum('BC NGÀY 1'!AE33:AE48)</f>
        <v>0</v>
      </c>
    </row>
    <row r="6">
      <c r="A6" s="95" t="s">
        <v>102</v>
      </c>
      <c r="B6" s="95" t="s">
        <v>103</v>
      </c>
      <c r="C6" s="92">
        <f>sum('BC NGÀY 1'!C49:C63)</f>
        <v>0</v>
      </c>
      <c r="D6" s="92">
        <f>sum('BC NGÀY 1'!D49:D63)</f>
        <v>10</v>
      </c>
      <c r="E6" s="92">
        <f>sum('BC NGÀY 1'!E49:E63)</f>
        <v>1</v>
      </c>
      <c r="F6" s="92">
        <f>sum('BC NGÀY 1'!F49:F63)</f>
        <v>1</v>
      </c>
      <c r="G6" s="93">
        <v>95.0</v>
      </c>
      <c r="H6" s="93">
        <v>43.0</v>
      </c>
      <c r="I6" s="92">
        <f>sum('BC NGÀY 1'!I49:I63)</f>
        <v>2</v>
      </c>
      <c r="J6" s="92">
        <f>sum('BC NGÀY 1'!J49:J63)</f>
        <v>912</v>
      </c>
      <c r="K6" s="92">
        <f>sum('BC NGÀY 1'!K49:K63)</f>
        <v>4</v>
      </c>
      <c r="L6" s="92">
        <f>sum('BC NGÀY 1'!L49:L63)</f>
        <v>4</v>
      </c>
      <c r="M6" s="92">
        <f>sum('BC NGÀY 1'!M49:M63)</f>
        <v>108</v>
      </c>
      <c r="N6" s="92">
        <f>sum('BC NGÀY 1'!N49:N63)</f>
        <v>0</v>
      </c>
      <c r="O6" s="92">
        <f>sum('BC NGÀY 1'!O49:O63)</f>
        <v>0</v>
      </c>
      <c r="P6" s="92">
        <f>sum('BC NGÀY 1'!P49:P63)</f>
        <v>5</v>
      </c>
      <c r="Q6" s="92">
        <f>sum('BC NGÀY 1'!Q49:Q63)</f>
        <v>10</v>
      </c>
      <c r="R6" s="92">
        <f>sum('BC NGÀY 1'!R49:R63)</f>
        <v>1575</v>
      </c>
      <c r="S6" s="92">
        <f>sum('BC NGÀY 1'!S49:S63)</f>
        <v>3640</v>
      </c>
      <c r="T6" s="92">
        <f>sum('BC NGÀY 1'!T49:T63)</f>
        <v>40</v>
      </c>
      <c r="U6" s="92">
        <f>sum('BC NGÀY 1'!U49:U63)</f>
        <v>1443</v>
      </c>
      <c r="V6" s="92">
        <f>sum('BC NGÀY 1'!V49:V63)</f>
        <v>50</v>
      </c>
      <c r="W6" s="92">
        <f>sum('BC NGÀY 1'!W49:W63)</f>
        <v>3018</v>
      </c>
      <c r="X6" s="92">
        <f>sum('BC NGÀY 1'!X49:X63)</f>
        <v>126</v>
      </c>
      <c r="Y6" s="92">
        <f>sum('BC NGÀY 1'!Y49:Y63)</f>
        <v>126</v>
      </c>
      <c r="Z6" s="92">
        <f>sum('BC NGÀY 1'!Z49:Z63)</f>
        <v>2</v>
      </c>
      <c r="AA6" s="92">
        <f>sum('BC NGÀY 1'!AA49:AA63)</f>
        <v>2</v>
      </c>
      <c r="AB6" s="92">
        <f>sum('BC NGÀY 1'!AB49:AB63)</f>
        <v>0</v>
      </c>
      <c r="AC6" s="92">
        <f>sum('BC NGÀY 1'!AC49:AC63)</f>
        <v>0</v>
      </c>
      <c r="AD6" s="92">
        <f>sum('BC NGÀY 1'!AD49:AD63)</f>
        <v>0</v>
      </c>
      <c r="AE6" s="92">
        <f>sum('BC NGÀY 1'!AE49:AE63)</f>
        <v>0</v>
      </c>
    </row>
    <row r="7">
      <c r="A7" s="91" t="s">
        <v>104</v>
      </c>
      <c r="B7" s="91" t="s">
        <v>105</v>
      </c>
      <c r="C7" s="92">
        <f>sum('BC NGÀY 1'!C72:C79)</f>
        <v>0</v>
      </c>
      <c r="D7" s="92">
        <f>sum('BC NGÀY 1'!D72:D79)</f>
        <v>12</v>
      </c>
      <c r="E7" s="92">
        <f>sum('BC NGÀY 1'!E72:E79)</f>
        <v>0</v>
      </c>
      <c r="F7" s="92">
        <f>sum('BC NGÀY 1'!F72:F79)</f>
        <v>0</v>
      </c>
      <c r="G7" s="92">
        <f>sum('BC NGÀY 1'!G72:G79)</f>
        <v>31</v>
      </c>
      <c r="H7" s="92">
        <f>sum('BC NGÀY 1'!H72:H79)</f>
        <v>15</v>
      </c>
      <c r="I7" s="92">
        <f>sum('BC NGÀY 1'!I72:I79)</f>
        <v>1</v>
      </c>
      <c r="J7" s="92">
        <f>sum('BC NGÀY 1'!J72:J79)</f>
        <v>371</v>
      </c>
      <c r="K7" s="92">
        <f>sum('BC NGÀY 1'!K72:K79)</f>
        <v>3</v>
      </c>
      <c r="L7" s="92">
        <f>sum('BC NGÀY 1'!L72:L79)</f>
        <v>3</v>
      </c>
      <c r="M7" s="92">
        <f>sum('BC NGÀY 1'!M72:M79)</f>
        <v>39</v>
      </c>
      <c r="N7" s="92">
        <f>sum('BC NGÀY 1'!N72:N79)</f>
        <v>0</v>
      </c>
      <c r="O7" s="92">
        <f>sum('BC NGÀY 1'!O72:O79)</f>
        <v>0</v>
      </c>
      <c r="P7" s="92">
        <f>sum('BC NGÀY 1'!P72:P79)</f>
        <v>1</v>
      </c>
      <c r="Q7" s="92">
        <f>sum('BC NGÀY 1'!Q72:Q79)</f>
        <v>2</v>
      </c>
      <c r="R7" s="92">
        <f>sum('BC NGÀY 1'!R72:R79)</f>
        <v>1450</v>
      </c>
      <c r="S7" s="92">
        <f>sum('BC NGÀY 1'!S72:S79)</f>
        <v>1450</v>
      </c>
      <c r="T7" s="92">
        <f>sum('BC NGÀY 1'!T72:T79)</f>
        <v>19</v>
      </c>
      <c r="U7" s="92">
        <f>sum('BC NGÀY 1'!U72:U79)</f>
        <v>924</v>
      </c>
      <c r="V7" s="92">
        <f>sum('BC NGÀY 1'!V72:V79)</f>
        <v>21</v>
      </c>
      <c r="W7" s="92">
        <f>sum('BC NGÀY 1'!W72:W79)</f>
        <v>2374</v>
      </c>
      <c r="X7" s="92">
        <f>sum('BC NGÀY 1'!X72:X79)</f>
        <v>45</v>
      </c>
      <c r="Y7" s="92">
        <f>sum('BC NGÀY 1'!Y72:Y79)</f>
        <v>45</v>
      </c>
      <c r="Z7" s="92">
        <f>sum('BC NGÀY 1'!Z72:Z79)</f>
        <v>6</v>
      </c>
      <c r="AA7" s="92">
        <f>sum('BC NGÀY 1'!AA72:AA79)</f>
        <v>6</v>
      </c>
      <c r="AB7" s="92">
        <f>sum('BC NGÀY 1'!AB72:AB79)</f>
        <v>0</v>
      </c>
      <c r="AC7" s="92">
        <f>sum('BC NGÀY 1'!AC72:AC79)</f>
        <v>0</v>
      </c>
      <c r="AD7" s="92">
        <f>sum('BC NGÀY 1'!AD72:AD79)</f>
        <v>0</v>
      </c>
      <c r="AE7" s="92">
        <f>sum('BC NGÀY 1'!AE72:AE79)</f>
        <v>0</v>
      </c>
    </row>
    <row r="8">
      <c r="A8" s="95" t="s">
        <v>106</v>
      </c>
      <c r="B8" s="95" t="s">
        <v>107</v>
      </c>
      <c r="C8" s="92">
        <f>sum('BC NGÀY 1'!C64:C79)</f>
        <v>1</v>
      </c>
      <c r="D8" s="92">
        <f>sum('BC NGÀY 1'!D64:D79)</f>
        <v>18</v>
      </c>
      <c r="E8" s="92">
        <f>sum('BC NGÀY 1'!E64:E79)</f>
        <v>0</v>
      </c>
      <c r="F8" s="92">
        <f>sum('BC NGÀY 1'!F64:F79)</f>
        <v>1</v>
      </c>
      <c r="G8" s="92">
        <f>sum('BC NGÀY 1'!G64:G79)</f>
        <v>113</v>
      </c>
      <c r="H8" s="92">
        <f>sum('BC NGÀY 1'!H64:H79)</f>
        <v>36</v>
      </c>
      <c r="I8" s="92">
        <f>sum('BC NGÀY 1'!I64:I79)</f>
        <v>1</v>
      </c>
      <c r="J8" s="92">
        <f>sum('BC NGÀY 1'!J64:J79)</f>
        <v>1112</v>
      </c>
      <c r="K8" s="92">
        <f>sum('BC NGÀY 1'!K64:K79)</f>
        <v>4</v>
      </c>
      <c r="L8" s="92">
        <f>sum('BC NGÀY 1'!L64:L79)</f>
        <v>4</v>
      </c>
      <c r="M8" s="92">
        <f>sum('BC NGÀY 1'!M64:M79)</f>
        <v>43</v>
      </c>
      <c r="N8" s="92">
        <f>sum('BC NGÀY 1'!N64:N79)</f>
        <v>0</v>
      </c>
      <c r="O8" s="92">
        <f>sum('BC NGÀY 1'!O64:O79)</f>
        <v>0</v>
      </c>
      <c r="P8" s="92">
        <f>sum('BC NGÀY 1'!P64:P79)</f>
        <v>2</v>
      </c>
      <c r="Q8" s="92">
        <f>sum('BC NGÀY 1'!Q64:Q79)</f>
        <v>7</v>
      </c>
      <c r="R8" s="92">
        <f>sum('BC NGÀY 1'!R64:R79)</f>
        <v>3236</v>
      </c>
      <c r="S8" s="92">
        <f>sum('BC NGÀY 1'!S64:S79)</f>
        <v>3236</v>
      </c>
      <c r="T8" s="92">
        <f>sum('BC NGÀY 1'!T64:T79)</f>
        <v>45</v>
      </c>
      <c r="U8" s="92">
        <f>sum('BC NGÀY 1'!U64:U79)</f>
        <v>1884</v>
      </c>
      <c r="V8" s="92">
        <f>sum('BC NGÀY 1'!V64:V79)</f>
        <v>52</v>
      </c>
      <c r="W8" s="92">
        <f>sum('BC NGÀY 1'!W64:W79)</f>
        <v>5120</v>
      </c>
      <c r="X8" s="92">
        <f>sum('BC NGÀY 1'!X64:X79)</f>
        <v>148</v>
      </c>
      <c r="Y8" s="92">
        <f>sum('BC NGÀY 1'!Y64:Y79)</f>
        <v>148</v>
      </c>
      <c r="Z8" s="92">
        <f>sum('BC NGÀY 1'!Z64:Z79)</f>
        <v>15</v>
      </c>
      <c r="AA8" s="92">
        <f>sum('BC NGÀY 1'!AA64:AA79)</f>
        <v>15</v>
      </c>
      <c r="AB8" s="92">
        <f>sum('BC NGÀY 1'!AB64:AB79)</f>
        <v>0</v>
      </c>
      <c r="AC8" s="92">
        <f>sum('BC NGÀY 1'!AC64:AC79)</f>
        <v>0</v>
      </c>
      <c r="AD8" s="92">
        <f>sum('BC NGÀY 1'!AD64:AD79)</f>
        <v>0</v>
      </c>
      <c r="AE8" s="92">
        <f>sum('BC NGÀY 1'!AE64:AE79)</f>
        <v>0</v>
      </c>
    </row>
    <row r="9">
      <c r="A9" s="91" t="s">
        <v>108</v>
      </c>
      <c r="B9" s="76" t="s">
        <v>109</v>
      </c>
      <c r="C9" s="92">
        <f>sum('BC NGÀY 1'!C80:C86)</f>
        <v>1</v>
      </c>
      <c r="D9" s="92">
        <f>sum('BC NGÀY 1'!D80:D86)</f>
        <v>15</v>
      </c>
      <c r="E9" s="92">
        <f>sum('BC NGÀY 1'!E80:E86)</f>
        <v>1</v>
      </c>
      <c r="F9" s="92">
        <f>sum('BC NGÀY 1'!F80:F86)</f>
        <v>0</v>
      </c>
      <c r="G9" s="92">
        <f>sum('BC NGÀY 1'!G80:G86)</f>
        <v>65</v>
      </c>
      <c r="H9" s="92">
        <f>sum('BC NGÀY 1'!H80:H86)</f>
        <v>24</v>
      </c>
      <c r="I9" s="92">
        <f>sum('BC NGÀY 1'!I80:I86)</f>
        <v>1</v>
      </c>
      <c r="J9" s="92">
        <f>sum('BC NGÀY 1'!J80:J86)</f>
        <v>650</v>
      </c>
      <c r="K9" s="92">
        <f>sum('BC NGÀY 1'!K80:K86)</f>
        <v>5</v>
      </c>
      <c r="L9" s="92">
        <f>sum('BC NGÀY 1'!L80:L86)</f>
        <v>5</v>
      </c>
      <c r="M9" s="92">
        <f>sum('BC NGÀY 1'!M80:M86)</f>
        <v>52</v>
      </c>
      <c r="N9" s="92">
        <f>sum('BC NGÀY 1'!N80:N86)</f>
        <v>0</v>
      </c>
      <c r="O9" s="92">
        <f>sum('BC NGÀY 1'!O80:O86)</f>
        <v>0</v>
      </c>
      <c r="P9" s="92">
        <f>sum('BC NGÀY 1'!P80:P86)</f>
        <v>0</v>
      </c>
      <c r="Q9" s="92">
        <f>sum('BC NGÀY 1'!Q80:Q86)</f>
        <v>1</v>
      </c>
      <c r="R9" s="92">
        <f>sum('BC NGÀY 1'!R80:R86)</f>
        <v>80</v>
      </c>
      <c r="S9" s="92">
        <f>sum('BC NGÀY 1'!S80:S86)</f>
        <v>80</v>
      </c>
      <c r="T9" s="92">
        <f>sum('BC NGÀY 1'!T80:T86)</f>
        <v>9</v>
      </c>
      <c r="U9" s="92">
        <f>sum('BC NGÀY 1'!U80:U86)</f>
        <v>659</v>
      </c>
      <c r="V9" s="92">
        <f>sum('BC NGÀY 1'!V80:V86)</f>
        <v>10</v>
      </c>
      <c r="W9" s="92">
        <f>sum('BC NGÀY 1'!W80:W86)</f>
        <v>739</v>
      </c>
      <c r="X9" s="92">
        <f>sum('BC NGÀY 1'!X80:X86)</f>
        <v>88</v>
      </c>
      <c r="Y9" s="92">
        <f>sum('BC NGÀY 1'!Y80:Y86)</f>
        <v>88</v>
      </c>
      <c r="Z9" s="92">
        <f>sum('BC NGÀY 1'!Z80:Z86)</f>
        <v>4</v>
      </c>
      <c r="AA9" s="92">
        <f>sum('BC NGÀY 1'!AA80:AA86)</f>
        <v>4</v>
      </c>
      <c r="AB9" s="92">
        <f>sum('BC NGÀY 1'!AB80:AB86)</f>
        <v>0</v>
      </c>
      <c r="AC9" s="92">
        <f>sum('BC NGÀY 1'!AC80:AC86)</f>
        <v>0</v>
      </c>
      <c r="AD9" s="92">
        <f>sum('BC NGÀY 1'!AD80:AD86)</f>
        <v>0</v>
      </c>
      <c r="AE9" s="92">
        <f>sum('BC NGÀY 1'!AE80:AE86)</f>
        <v>0</v>
      </c>
    </row>
    <row r="10">
      <c r="A10" s="95" t="s">
        <v>110</v>
      </c>
      <c r="B10" s="95" t="s">
        <v>111</v>
      </c>
      <c r="C10" s="92">
        <f>sum('BC NGÀY 1'!C80:C93)</f>
        <v>1</v>
      </c>
      <c r="D10" s="92">
        <f>sum('BC NGÀY 1'!D80:D93)</f>
        <v>21</v>
      </c>
      <c r="E10" s="92">
        <f>sum('BC NGÀY 1'!E80:E93)</f>
        <v>1</v>
      </c>
      <c r="F10" s="92">
        <f>sum('BC NGÀY 1'!F80:F93)</f>
        <v>0</v>
      </c>
      <c r="G10" s="92">
        <f>sum('BC NGÀY 1'!G80:G93)</f>
        <v>93</v>
      </c>
      <c r="H10" s="92">
        <f>sum('BC NGÀY 1'!H80:H93)</f>
        <v>39</v>
      </c>
      <c r="I10" s="92">
        <f>sum('BC NGÀY 1'!I80:I93)</f>
        <v>3</v>
      </c>
      <c r="J10" s="92">
        <f>sum('BC NGÀY 1'!J80:J93)</f>
        <v>900</v>
      </c>
      <c r="K10" s="92">
        <f>sum('BC NGÀY 1'!K80:K93)</f>
        <v>7</v>
      </c>
      <c r="L10" s="92">
        <f>sum('BC NGÀY 1'!L80:L93)</f>
        <v>7</v>
      </c>
      <c r="M10" s="92">
        <f>sum('BC NGÀY 1'!M80:M93)</f>
        <v>127</v>
      </c>
      <c r="N10" s="92">
        <f>sum('BC NGÀY 1'!N80:N93)</f>
        <v>0</v>
      </c>
      <c r="O10" s="92">
        <f>sum('BC NGÀY 1'!O80:O93)</f>
        <v>0</v>
      </c>
      <c r="P10" s="92">
        <f>sum('BC NGÀY 1'!P80:P93)</f>
        <v>5</v>
      </c>
      <c r="Q10" s="92">
        <f>sum('BC NGÀY 1'!Q80:Q93)</f>
        <v>6</v>
      </c>
      <c r="R10" s="92">
        <f>sum('BC NGÀY 1'!R80:R93)</f>
        <v>2679</v>
      </c>
      <c r="S10" s="92">
        <f>sum('BC NGÀY 1'!S80:S93)</f>
        <v>2679</v>
      </c>
      <c r="T10" s="92">
        <f>sum('BC NGÀY 1'!T80:T93)</f>
        <v>12</v>
      </c>
      <c r="U10" s="92">
        <f>sum('BC NGÀY 1'!U80:U93)</f>
        <v>864</v>
      </c>
      <c r="V10" s="92">
        <f>sum('BC NGÀY 1'!V80:V93)</f>
        <v>18</v>
      </c>
      <c r="W10" s="92">
        <f>sum('BC NGÀY 1'!W80:W93)</f>
        <v>3543</v>
      </c>
      <c r="X10" s="92">
        <f>sum('BC NGÀY 1'!X80:X93)</f>
        <v>129</v>
      </c>
      <c r="Y10" s="92">
        <f>sum('BC NGÀY 1'!Y80:Y93)</f>
        <v>129</v>
      </c>
      <c r="Z10" s="92">
        <f>sum('BC NGÀY 1'!Z80:Z93)</f>
        <v>9</v>
      </c>
      <c r="AA10" s="92">
        <f>sum('BC NGÀY 1'!AA80:AA93)</f>
        <v>9</v>
      </c>
      <c r="AB10" s="92">
        <f>sum('BC NGÀY 1'!AB80:AB93)</f>
        <v>0</v>
      </c>
      <c r="AC10" s="92">
        <f>sum('BC NGÀY 1'!AC80:AC93)</f>
        <v>0</v>
      </c>
      <c r="AD10" s="92">
        <f>sum('BC NGÀY 1'!AD80:AD93)</f>
        <v>0</v>
      </c>
      <c r="AE10" s="92">
        <f>sum('BC NGÀY 1'!AE80:AE93)</f>
        <v>0</v>
      </c>
    </row>
    <row r="11">
      <c r="A11" s="91" t="s">
        <v>112</v>
      </c>
      <c r="B11" s="76" t="s">
        <v>113</v>
      </c>
      <c r="C11" s="92">
        <f>sum('BC NGÀY 1'!C87:C93)</f>
        <v>0</v>
      </c>
      <c r="D11" s="92">
        <f>sum('BC NGÀY 1'!D87:D93)</f>
        <v>6</v>
      </c>
      <c r="E11" s="92">
        <f>sum('BC NGÀY 1'!E87:E93)</f>
        <v>0</v>
      </c>
      <c r="F11" s="92">
        <f>sum('BC NGÀY 1'!F87:F93)</f>
        <v>0</v>
      </c>
      <c r="G11" s="92">
        <f>sum('BC NGÀY 1'!G87:G93)</f>
        <v>28</v>
      </c>
      <c r="H11" s="92">
        <f>sum('BC NGÀY 1'!H87:H93)</f>
        <v>15</v>
      </c>
      <c r="I11" s="92">
        <f>sum('BC NGÀY 1'!I87:I93)</f>
        <v>2</v>
      </c>
      <c r="J11" s="92">
        <f>sum('BC NGÀY 1'!J87:J93)</f>
        <v>250</v>
      </c>
      <c r="K11" s="92">
        <f>sum('BC NGÀY 1'!K87:K93)</f>
        <v>2</v>
      </c>
      <c r="L11" s="92">
        <f>sum('BC NGÀY 1'!L87:L93)</f>
        <v>2</v>
      </c>
      <c r="M11" s="92">
        <f>sum('BC NGÀY 1'!M87:M93)</f>
        <v>75</v>
      </c>
      <c r="N11" s="92">
        <f>sum('BC NGÀY 1'!N87:N93)</f>
        <v>0</v>
      </c>
      <c r="O11" s="92">
        <f>sum('BC NGÀY 1'!O87:O93)</f>
        <v>0</v>
      </c>
      <c r="P11" s="92">
        <f>sum('BC NGÀY 1'!P87:P93)</f>
        <v>5</v>
      </c>
      <c r="Q11" s="92">
        <f>sum('BC NGÀY 1'!Q87:Q93)</f>
        <v>5</v>
      </c>
      <c r="R11" s="92">
        <f>sum('BC NGÀY 1'!R87:R93)</f>
        <v>2599</v>
      </c>
      <c r="S11" s="92">
        <f>sum('BC NGÀY 1'!S87:S93)</f>
        <v>2599</v>
      </c>
      <c r="T11" s="92">
        <f>sum('BC NGÀY 1'!T87:T93)</f>
        <v>3</v>
      </c>
      <c r="U11" s="92">
        <f>sum('BC NGÀY 1'!U87:U93)</f>
        <v>205</v>
      </c>
      <c r="V11" s="92">
        <f>sum('BC NGÀY 1'!V87:V93)</f>
        <v>8</v>
      </c>
      <c r="W11" s="92">
        <f>sum('BC NGÀY 1'!W87:W93)</f>
        <v>2804</v>
      </c>
      <c r="X11" s="92">
        <f>sum('BC NGÀY 1'!X87:X93)</f>
        <v>41</v>
      </c>
      <c r="Y11" s="92">
        <f>sum('BC NGÀY 1'!Y87:Y93)</f>
        <v>41</v>
      </c>
      <c r="Z11" s="92">
        <f>sum('BC NGÀY 1'!Z87:Z93)</f>
        <v>5</v>
      </c>
      <c r="AA11" s="92">
        <f>sum('BC NGÀY 1'!AA87:AA93)</f>
        <v>5</v>
      </c>
      <c r="AB11" s="92">
        <f>sum('BC NGÀY 1'!AB87:AB93)</f>
        <v>0</v>
      </c>
      <c r="AC11" s="92">
        <f>sum('BC NGÀY 1'!AC87:AC93)</f>
        <v>0</v>
      </c>
      <c r="AD11" s="92">
        <f>sum('BC NGÀY 1'!AD87:AD93)</f>
        <v>0</v>
      </c>
      <c r="AE11" s="92">
        <f>sum('BC NGÀY 1'!AE87:AE93)</f>
        <v>0</v>
      </c>
    </row>
    <row r="12">
      <c r="A12" s="96" t="s">
        <v>114</v>
      </c>
      <c r="B12" s="96" t="s">
        <v>115</v>
      </c>
      <c r="C12" s="92">
        <f>sum('BC NGÀY 1'!C96:C98)</f>
        <v>0</v>
      </c>
      <c r="D12" s="92">
        <f>sum('BC NGÀY 1'!D96:D98)</f>
        <v>2</v>
      </c>
      <c r="E12" s="92">
        <f>sum('BC NGÀY 1'!E96:E98)</f>
        <v>0</v>
      </c>
      <c r="F12" s="92">
        <f>sum('BC NGÀY 1'!F96:F98)</f>
        <v>0</v>
      </c>
      <c r="G12" s="92">
        <f>sum('BC NGÀY 1'!G96:G98)</f>
        <v>0</v>
      </c>
      <c r="H12" s="92">
        <f>sum('BC NGÀY 1'!H96:H98)</f>
        <v>0</v>
      </c>
      <c r="I12" s="92">
        <f>sum('BC NGÀY 1'!I96:I98)</f>
        <v>0</v>
      </c>
      <c r="J12" s="92">
        <f>sum('BC NGÀY 1'!J96:J98)</f>
        <v>0</v>
      </c>
      <c r="K12" s="92">
        <f>sum('BC NGÀY 1'!K96:K98)</f>
        <v>0</v>
      </c>
      <c r="L12" s="92">
        <f>sum('BC NGÀY 1'!L96:L98)</f>
        <v>0</v>
      </c>
      <c r="M12" s="92">
        <f>sum('BC NGÀY 1'!M96:M98)</f>
        <v>0</v>
      </c>
      <c r="N12" s="92">
        <f>sum('BC NGÀY 1'!N96:N98)</f>
        <v>0</v>
      </c>
      <c r="O12" s="92">
        <f>sum('BC NGÀY 1'!O96:O98)</f>
        <v>0</v>
      </c>
      <c r="P12" s="92">
        <f>sum('BC NGÀY 1'!P96:P98)</f>
        <v>0</v>
      </c>
      <c r="Q12" s="92">
        <f>sum('BC NGÀY 1'!Q96:Q98)</f>
        <v>0</v>
      </c>
      <c r="R12" s="92">
        <f>sum('BC NGÀY 1'!R96:R98)</f>
        <v>0</v>
      </c>
      <c r="S12" s="92">
        <f>sum('BC NGÀY 1'!S96:S98)</f>
        <v>0</v>
      </c>
      <c r="T12" s="92">
        <f>sum('BC NGÀY 1'!T96:T98)</f>
        <v>0</v>
      </c>
      <c r="U12" s="92">
        <f>sum('BC NGÀY 1'!U96:U98)</f>
        <v>0</v>
      </c>
      <c r="V12" s="92">
        <f>sum('BC NGÀY 1'!V96:V98)</f>
        <v>0</v>
      </c>
      <c r="W12" s="92">
        <f>sum('BC NGÀY 1'!W96:W98)</f>
        <v>0</v>
      </c>
      <c r="X12" s="92">
        <f>sum('BC NGÀY 1'!X96:X98)</f>
        <v>0</v>
      </c>
      <c r="Y12" s="92">
        <f>sum('BC NGÀY 1'!Y96:Y98)</f>
        <v>0</v>
      </c>
      <c r="Z12" s="92">
        <f>sum('BC NGÀY 1'!Z96:Z98)</f>
        <v>0</v>
      </c>
      <c r="AA12" s="92">
        <f>sum('BC NGÀY 1'!AA96:AA98)</f>
        <v>0</v>
      </c>
      <c r="AB12" s="92">
        <f>sum('BC NGÀY 1'!AB96:AB98)</f>
        <v>0</v>
      </c>
      <c r="AC12" s="92">
        <f>sum('BC NGÀY 1'!AC96:AC98)</f>
        <v>0</v>
      </c>
      <c r="AD12" s="92">
        <f>sum('BC NGÀY 1'!AD96:AD98)</f>
        <v>0</v>
      </c>
      <c r="AE12" s="92">
        <f>sum('BC NGÀY 1'!AE96:AE98)</f>
        <v>0</v>
      </c>
    </row>
    <row r="13">
      <c r="A13" s="96" t="s">
        <v>116</v>
      </c>
      <c r="B13" s="96" t="s">
        <v>117</v>
      </c>
      <c r="C13" s="92">
        <f>sum('BC NGÀY 1'!C94:C99)</f>
        <v>0</v>
      </c>
      <c r="D13" s="92">
        <f>sum('BC NGÀY 1'!D94:D99)</f>
        <v>6</v>
      </c>
      <c r="E13" s="92">
        <f>sum('BC NGÀY 1'!E94:E99)</f>
        <v>0</v>
      </c>
      <c r="F13" s="92">
        <f>sum('BC NGÀY 1'!F94:F99)</f>
        <v>0</v>
      </c>
      <c r="G13" s="92">
        <f>sum('BC NGÀY 1'!G94:G99)</f>
        <v>0</v>
      </c>
      <c r="H13" s="92">
        <f>sum('BC NGÀY 1'!H94:H99)</f>
        <v>0</v>
      </c>
      <c r="I13" s="92">
        <f>sum('BC NGÀY 1'!I94:I99)</f>
        <v>0</v>
      </c>
      <c r="J13" s="92">
        <f>sum('BC NGÀY 1'!J94:J99)</f>
        <v>0</v>
      </c>
      <c r="K13" s="92">
        <f>sum('BC NGÀY 1'!K94:K99)</f>
        <v>0</v>
      </c>
      <c r="L13" s="92">
        <f>sum('BC NGÀY 1'!L94:L99)</f>
        <v>0</v>
      </c>
      <c r="M13" s="92">
        <f>sum('BC NGÀY 1'!M94:M99)</f>
        <v>0</v>
      </c>
      <c r="N13" s="92">
        <f>sum('BC NGÀY 1'!N94:N99)</f>
        <v>0</v>
      </c>
      <c r="O13" s="92">
        <f>sum('BC NGÀY 1'!O94:O99)</f>
        <v>0</v>
      </c>
      <c r="P13" s="92">
        <f>sum('BC NGÀY 1'!P94:P99)</f>
        <v>0</v>
      </c>
      <c r="Q13" s="92">
        <f>sum('BC NGÀY 1'!Q94:Q99)</f>
        <v>1</v>
      </c>
      <c r="R13" s="92">
        <f>sum('BC NGÀY 1'!R94:R99)</f>
        <v>258</v>
      </c>
      <c r="S13" s="92">
        <f>sum('BC NGÀY 1'!S94:S99)</f>
        <v>258</v>
      </c>
      <c r="T13" s="92">
        <f>sum('BC NGÀY 1'!T94:T99)</f>
        <v>0</v>
      </c>
      <c r="U13" s="92">
        <f>sum('BC NGÀY 1'!U94:U99)</f>
        <v>0</v>
      </c>
      <c r="V13" s="92">
        <f>sum('BC NGÀY 1'!V94:V99)</f>
        <v>1</v>
      </c>
      <c r="W13" s="92">
        <f>sum('BC NGÀY 1'!W94:W99)</f>
        <v>258</v>
      </c>
      <c r="X13" s="92">
        <f>sum('BC NGÀY 1'!X94:X99)</f>
        <v>0</v>
      </c>
      <c r="Y13" s="92">
        <f>sum('BC NGÀY 1'!Y94:Y99)</f>
        <v>0</v>
      </c>
      <c r="Z13" s="92">
        <f>sum('BC NGÀY 1'!Z94:Z99)</f>
        <v>0</v>
      </c>
      <c r="AA13" s="92">
        <f>sum('BC NGÀY 1'!AA94:AA99)</f>
        <v>0</v>
      </c>
      <c r="AB13" s="92">
        <f>sum('BC NGÀY 1'!AB94:AB99)</f>
        <v>0</v>
      </c>
      <c r="AC13" s="92">
        <f>sum('BC NGÀY 1'!AC94:AC99)</f>
        <v>0</v>
      </c>
      <c r="AD13" s="92">
        <f>sum('BC NGÀY 1'!AD94:AD99)</f>
        <v>0</v>
      </c>
      <c r="AE13" s="92">
        <f>sum('BC NGÀY 1'!AE94:AE99)</f>
        <v>0</v>
      </c>
    </row>
    <row r="14">
      <c r="A14" s="91" t="s">
        <v>118</v>
      </c>
      <c r="B14" s="76" t="s">
        <v>119</v>
      </c>
      <c r="C14" s="92">
        <f>SUM('BC NGÀY 1'!C94:C100)</f>
        <v>0</v>
      </c>
      <c r="D14" s="92">
        <f>SUM('BC NGÀY 1'!D94:D100)</f>
        <v>7</v>
      </c>
      <c r="E14" s="92">
        <f>SUM('BC NGÀY 1'!E94:E100)</f>
        <v>0</v>
      </c>
      <c r="F14" s="92">
        <f>SUM('BC NGÀY 1'!F94:F100)</f>
        <v>0</v>
      </c>
      <c r="G14" s="92">
        <f>SUM('BC NGÀY 1'!G94:G100)</f>
        <v>0</v>
      </c>
      <c r="H14" s="92">
        <f>SUM('BC NGÀY 1'!H94:H100)</f>
        <v>0</v>
      </c>
      <c r="I14" s="92">
        <f>SUM('BC NGÀY 1'!I94:I100)</f>
        <v>0</v>
      </c>
      <c r="J14" s="92">
        <f>SUM('BC NGÀY 1'!J94:J100)</f>
        <v>0</v>
      </c>
      <c r="K14" s="92">
        <f>SUM('BC NGÀY 1'!K94:K100)</f>
        <v>0</v>
      </c>
      <c r="L14" s="92">
        <f>SUM('BC NGÀY 1'!L94:L100)</f>
        <v>0</v>
      </c>
      <c r="M14" s="92">
        <f>SUM('BC NGÀY 1'!M94:M100)</f>
        <v>0</v>
      </c>
      <c r="N14" s="92">
        <f>SUM('BC NGÀY 1'!N94:N100)</f>
        <v>0</v>
      </c>
      <c r="O14" s="92">
        <f>SUM('BC NGÀY 1'!O94:O100)</f>
        <v>0</v>
      </c>
      <c r="P14" s="92">
        <f>SUM('BC NGÀY 1'!P94:P100)</f>
        <v>0</v>
      </c>
      <c r="Q14" s="92">
        <f>SUM('BC NGÀY 1'!Q94:Q100)</f>
        <v>1</v>
      </c>
      <c r="R14" s="92">
        <f>SUM('BC NGÀY 1'!R94:R100)</f>
        <v>258</v>
      </c>
      <c r="S14" s="92">
        <f>SUM('BC NGÀY 1'!S94:S100)</f>
        <v>258</v>
      </c>
      <c r="T14" s="92">
        <f>SUM('BC NGÀY 1'!T94:T100)</f>
        <v>0</v>
      </c>
      <c r="U14" s="92">
        <f>SUM('BC NGÀY 1'!U94:U100)</f>
        <v>0</v>
      </c>
      <c r="V14" s="92">
        <f>SUM('BC NGÀY 1'!V94:V100)</f>
        <v>1</v>
      </c>
      <c r="W14" s="92">
        <f>SUM('BC NGÀY 1'!W94:W100)</f>
        <v>258</v>
      </c>
      <c r="X14" s="92">
        <f>SUM('BC NGÀY 1'!X94:X100)</f>
        <v>0</v>
      </c>
      <c r="Y14" s="92">
        <f>SUM('BC NGÀY 1'!Y94:Y100)</f>
        <v>0</v>
      </c>
      <c r="Z14" s="92">
        <f>SUM('BC NGÀY 1'!Z94:Z100)</f>
        <v>0</v>
      </c>
      <c r="AA14" s="92">
        <f>SUM('BC NGÀY 1'!AA94:AA100)</f>
        <v>0</v>
      </c>
      <c r="AB14" s="92">
        <f>SUM('BC NGÀY 1'!AB94:AB100)</f>
        <v>0</v>
      </c>
      <c r="AC14" s="92">
        <f>SUM('BC NGÀY 1'!AC94:AC100)</f>
        <v>0</v>
      </c>
      <c r="AD14" s="92">
        <f>SUM('BC NGÀY 1'!AD94:AD100)</f>
        <v>0</v>
      </c>
      <c r="AE14" s="92">
        <f>SUM('BC NGÀY 1'!AE94:AE100)</f>
        <v>0</v>
      </c>
    </row>
    <row r="15">
      <c r="A15" s="96" t="s">
        <v>120</v>
      </c>
      <c r="B15" s="96" t="s">
        <v>121</v>
      </c>
      <c r="C15" s="92">
        <f>SUM('BC NGÀY 1'!C94:C102)</f>
        <v>1</v>
      </c>
      <c r="D15" s="92">
        <f>SUM('BC NGÀY 1'!D94:D102)</f>
        <v>7</v>
      </c>
      <c r="E15" s="92">
        <f>SUM('BC NGÀY 1'!E94:E102)</f>
        <v>0</v>
      </c>
      <c r="F15" s="92">
        <f>SUM('BC NGÀY 1'!F94:F102)</f>
        <v>0</v>
      </c>
      <c r="G15" s="92">
        <f>SUM('BC NGÀY 1'!G94:G102)</f>
        <v>0</v>
      </c>
      <c r="H15" s="92">
        <f>SUM('BC NGÀY 1'!H94:H102)</f>
        <v>0</v>
      </c>
      <c r="I15" s="92">
        <f>SUM('BC NGÀY 1'!I94:I102)</f>
        <v>0</v>
      </c>
      <c r="J15" s="92">
        <f>SUM('BC NGÀY 1'!J94:J102)</f>
        <v>0</v>
      </c>
      <c r="K15" s="92">
        <f>SUM('BC NGÀY 1'!K94:K102)</f>
        <v>0</v>
      </c>
      <c r="L15" s="92">
        <f>SUM('BC NGÀY 1'!L94:L102)</f>
        <v>0</v>
      </c>
      <c r="M15" s="92">
        <f>SUM('BC NGÀY 1'!M94:M102)</f>
        <v>0</v>
      </c>
      <c r="N15" s="92">
        <f>SUM('BC NGÀY 1'!N94:N102)</f>
        <v>0</v>
      </c>
      <c r="O15" s="92">
        <f>SUM('BC NGÀY 1'!O94:O102)</f>
        <v>0</v>
      </c>
      <c r="P15" s="92">
        <f>SUM('BC NGÀY 1'!P94:P102)</f>
        <v>0</v>
      </c>
      <c r="Q15" s="92">
        <f>SUM('BC NGÀY 1'!Q94:Q102)</f>
        <v>1</v>
      </c>
      <c r="R15" s="92">
        <f>SUM('BC NGÀY 1'!R94:R102)</f>
        <v>258</v>
      </c>
      <c r="S15" s="92">
        <f>SUM('BC NGÀY 1'!S94:S102)</f>
        <v>258</v>
      </c>
      <c r="T15" s="92">
        <f>SUM('BC NGÀY 1'!T94:T102)</f>
        <v>0</v>
      </c>
      <c r="U15" s="92">
        <f>SUM('BC NGÀY 1'!U94:U102)</f>
        <v>0</v>
      </c>
      <c r="V15" s="92">
        <f>SUM('BC NGÀY 1'!V94:V102)</f>
        <v>1</v>
      </c>
      <c r="W15" s="92">
        <f>SUM('BC NGÀY 1'!W94:W102)</f>
        <v>258</v>
      </c>
      <c r="X15" s="92">
        <f>SUM('BC NGÀY 1'!X94:X102)</f>
        <v>0</v>
      </c>
      <c r="Y15" s="92">
        <f>SUM('BC NGÀY 1'!Y94:Y102)</f>
        <v>0</v>
      </c>
      <c r="Z15" s="92">
        <f>SUM('BC NGÀY 1'!Z94:Z102)</f>
        <v>0</v>
      </c>
      <c r="AA15" s="92">
        <f>SUM('BC NGÀY 1'!AA94:AA102)</f>
        <v>0</v>
      </c>
      <c r="AB15" s="92">
        <f>SUM('BC NGÀY 1'!AB94:AB102)</f>
        <v>0</v>
      </c>
      <c r="AC15" s="92">
        <f>SUM('BC NGÀY 1'!AC94:AC102)</f>
        <v>0</v>
      </c>
      <c r="AD15" s="92">
        <f>SUM('BC NGÀY 1'!AD94:AD102)</f>
        <v>0</v>
      </c>
      <c r="AE15" s="92">
        <f>SUM('BC NGÀY 1'!AE94:AE102)</f>
        <v>0</v>
      </c>
    </row>
    <row r="16">
      <c r="A16" s="95" t="s">
        <v>122</v>
      </c>
      <c r="B16" s="95" t="s">
        <v>123</v>
      </c>
      <c r="C16" s="92">
        <f>sum('BC NGÀY 1'!C94:C107)</f>
        <v>1</v>
      </c>
      <c r="D16" s="92">
        <f>sum('BC NGÀY 1'!D94:D107)</f>
        <v>11</v>
      </c>
      <c r="E16" s="92">
        <f>sum('BC NGÀY 1'!E94:E107)</f>
        <v>0</v>
      </c>
      <c r="F16" s="92">
        <f>sum('BC NGÀY 1'!F94:F107)</f>
        <v>0</v>
      </c>
      <c r="G16" s="92">
        <f>sum('BC NGÀY 1'!G94:G107)</f>
        <v>0</v>
      </c>
      <c r="H16" s="92">
        <f>sum('BC NGÀY 1'!H94:H107)</f>
        <v>2</v>
      </c>
      <c r="I16" s="92">
        <f>sum('BC NGÀY 1'!I94:I107)</f>
        <v>0</v>
      </c>
      <c r="J16" s="92">
        <f>sum('BC NGÀY 1'!J94:J107)</f>
        <v>8</v>
      </c>
      <c r="K16" s="92">
        <f>sum('BC NGÀY 1'!K94:K107)</f>
        <v>0</v>
      </c>
      <c r="L16" s="92">
        <f>sum('BC NGÀY 1'!L94:L107)</f>
        <v>0</v>
      </c>
      <c r="M16" s="92">
        <f>sum('BC NGÀY 1'!M94:M107)</f>
        <v>0</v>
      </c>
      <c r="N16" s="92">
        <f>sum('BC NGÀY 1'!N94:N107)</f>
        <v>0</v>
      </c>
      <c r="O16" s="92">
        <f>sum('BC NGÀY 1'!O94:O107)</f>
        <v>0</v>
      </c>
      <c r="P16" s="92">
        <f>sum('BC NGÀY 1'!P94:P107)</f>
        <v>0</v>
      </c>
      <c r="Q16" s="92">
        <f>sum('BC NGÀY 1'!Q94:Q107)</f>
        <v>1</v>
      </c>
      <c r="R16" s="92">
        <f>sum('BC NGÀY 1'!R94:R107)</f>
        <v>258</v>
      </c>
      <c r="S16" s="92">
        <f>sum('BC NGÀY 1'!S94:S107)</f>
        <v>258</v>
      </c>
      <c r="T16" s="92">
        <f>sum('BC NGÀY 1'!T94:T107)</f>
        <v>0</v>
      </c>
      <c r="U16" s="92">
        <f>sum('BC NGÀY 1'!U94:U107)</f>
        <v>0</v>
      </c>
      <c r="V16" s="92">
        <f>sum('BC NGÀY 1'!V94:V107)</f>
        <v>1</v>
      </c>
      <c r="W16" s="92">
        <f>sum('BC NGÀY 1'!W94:W107)</f>
        <v>258</v>
      </c>
      <c r="X16" s="92">
        <f>sum('BC NGÀY 1'!X94:X107)</f>
        <v>0</v>
      </c>
      <c r="Y16" s="92">
        <f>sum('BC NGÀY 1'!Y94:Y107)</f>
        <v>0</v>
      </c>
      <c r="Z16" s="92">
        <f>sum('BC NGÀY 1'!Z94:Z107)</f>
        <v>0</v>
      </c>
      <c r="AA16" s="92">
        <f>sum('BC NGÀY 1'!AA94:AA107)</f>
        <v>0</v>
      </c>
      <c r="AB16" s="92">
        <f>sum('BC NGÀY 1'!AB94:AB107)</f>
        <v>0</v>
      </c>
      <c r="AC16" s="92">
        <f>sum('BC NGÀY 1'!AC94:AC107)</f>
        <v>0</v>
      </c>
      <c r="AD16" s="92">
        <f>sum('BC NGÀY 1'!AD94:AD107)</f>
        <v>0</v>
      </c>
      <c r="AE16" s="92">
        <f>sum('BC NGÀY 1'!AE94:AE107)</f>
        <v>0</v>
      </c>
    </row>
    <row r="17">
      <c r="A17" s="91" t="s">
        <v>124</v>
      </c>
      <c r="B17" s="76"/>
      <c r="C17" s="92">
        <f>sum('BC NGÀY 1'!C33:C105)</f>
        <v>3</v>
      </c>
      <c r="D17" s="92">
        <f>sum('BC NGÀY 1'!D33:D105)</f>
        <v>63</v>
      </c>
      <c r="E17" s="92">
        <f>sum('BC NGÀY 1'!E33:E105)</f>
        <v>3</v>
      </c>
      <c r="F17" s="92">
        <f>sum('BC NGÀY 1'!F33:F105)</f>
        <v>3</v>
      </c>
      <c r="G17" s="92">
        <f>sum('BC NGÀY 1'!G33:G105)</f>
        <v>321</v>
      </c>
      <c r="H17" s="92">
        <f>sum('BC NGÀY 1'!H33:H105)</f>
        <v>128</v>
      </c>
      <c r="I17" s="92">
        <f>sum('BC NGÀY 1'!I33:I105)</f>
        <v>6</v>
      </c>
      <c r="J17" s="92">
        <f>sum('BC NGÀY 1'!J33:J105)</f>
        <v>3107</v>
      </c>
      <c r="K17" s="92">
        <f>sum('BC NGÀY 1'!K33:K105)</f>
        <v>16</v>
      </c>
      <c r="L17" s="92">
        <f>sum('BC NGÀY 1'!L33:L105)</f>
        <v>16</v>
      </c>
      <c r="M17" s="92">
        <f>sum('BC NGÀY 1'!M33:M105)</f>
        <v>282</v>
      </c>
      <c r="N17" s="92">
        <f>sum('BC NGÀY 1'!N33:N105)</f>
        <v>0</v>
      </c>
      <c r="O17" s="92">
        <f>sum('BC NGÀY 1'!O33:O105)</f>
        <v>0</v>
      </c>
      <c r="P17" s="92">
        <f>sum('BC NGÀY 1'!P33:P105)</f>
        <v>18</v>
      </c>
      <c r="Q17" s="92">
        <f>sum('BC NGÀY 1'!Q33:Q105)</f>
        <v>37</v>
      </c>
      <c r="R17" s="92">
        <f>sum('BC NGÀY 1'!R33:R105)</f>
        <v>12036</v>
      </c>
      <c r="S17" s="92">
        <f>sum('BC NGÀY 1'!S33:S105)</f>
        <v>12373</v>
      </c>
      <c r="T17" s="92">
        <f>sum('BC NGÀY 1'!T33:T105)</f>
        <v>161</v>
      </c>
      <c r="U17" s="92">
        <f>sum('BC NGÀY 1'!U33:U105)</f>
        <v>7079</v>
      </c>
      <c r="V17" s="92">
        <f>sum('BC NGÀY 1'!V33:V105)</f>
        <v>198</v>
      </c>
      <c r="W17" s="92">
        <f>sum('BC NGÀY 1'!W33:W105)</f>
        <v>19115</v>
      </c>
      <c r="X17" s="92">
        <f>sum('BC NGÀY 1'!X33:X105)</f>
        <v>424</v>
      </c>
      <c r="Y17" s="92">
        <f>sum('BC NGÀY 1'!Y33:Y105)</f>
        <v>424</v>
      </c>
      <c r="Z17" s="92">
        <f>sum('BC NGÀY 1'!Z33:Z105)</f>
        <v>42</v>
      </c>
      <c r="AA17" s="92">
        <f>sum('BC NGÀY 1'!AA33:AA105)</f>
        <v>42</v>
      </c>
      <c r="AB17" s="92">
        <f>sum('BC NGÀY 1'!AB33:AB105)</f>
        <v>0</v>
      </c>
      <c r="AC17" s="92">
        <f>sum('BC NGÀY 1'!AC33:AC105)</f>
        <v>0</v>
      </c>
      <c r="AD17" s="92">
        <f>sum('BC NGÀY 1'!AD33:AD105)</f>
        <v>0</v>
      </c>
      <c r="AE17" s="92">
        <f>sum('BC NGÀY 1'!AE33:AE105)</f>
        <v>0</v>
      </c>
    </row>
    <row r="18">
      <c r="A18" s="91" t="s">
        <v>125</v>
      </c>
      <c r="B18" s="76" t="s">
        <v>126</v>
      </c>
      <c r="C18" s="92">
        <f>sum('BC NGÀY 1'!C101:C107)</f>
        <v>1</v>
      </c>
      <c r="D18" s="92">
        <f>sum('BC NGÀY 1'!D101:D107)</f>
        <v>4</v>
      </c>
      <c r="E18" s="92">
        <f>sum('BC NGÀY 1'!E101:E107)</f>
        <v>0</v>
      </c>
      <c r="F18" s="92">
        <f>sum('BC NGÀY 1'!F101:F107)</f>
        <v>0</v>
      </c>
      <c r="G18" s="92">
        <f>sum('BC NGÀY 1'!G101:G107)</f>
        <v>0</v>
      </c>
      <c r="H18" s="92">
        <f>sum('BC NGÀY 1'!H101:H107)</f>
        <v>2</v>
      </c>
      <c r="I18" s="92">
        <f>sum('BC NGÀY 1'!I101:I107)</f>
        <v>0</v>
      </c>
      <c r="J18" s="92">
        <f>sum('BC NGÀY 1'!J101:J107)</f>
        <v>8</v>
      </c>
      <c r="K18" s="92">
        <f>sum('BC NGÀY 1'!K101:K107)</f>
        <v>0</v>
      </c>
      <c r="L18" s="92">
        <f>sum('BC NGÀY 1'!L101:L107)</f>
        <v>0</v>
      </c>
      <c r="M18" s="92">
        <f>sum('BC NGÀY 1'!M101:M107)</f>
        <v>0</v>
      </c>
      <c r="N18" s="92">
        <f>sum('BC NGÀY 1'!N101:N107)</f>
        <v>0</v>
      </c>
      <c r="O18" s="92">
        <f>sum('BC NGÀY 1'!O101:O107)</f>
        <v>0</v>
      </c>
      <c r="P18" s="92">
        <f>sum('BC NGÀY 1'!P101:P107)</f>
        <v>0</v>
      </c>
      <c r="Q18" s="92">
        <f>sum('BC NGÀY 1'!Q101:Q107)</f>
        <v>0</v>
      </c>
      <c r="R18" s="92">
        <f>sum('BC NGÀY 1'!R101:R107)</f>
        <v>0</v>
      </c>
      <c r="S18" s="92">
        <f>sum('BC NGÀY 1'!S101:S107)</f>
        <v>0</v>
      </c>
      <c r="T18" s="92">
        <f>sum('BC NGÀY 1'!T101:T107)</f>
        <v>0</v>
      </c>
      <c r="U18" s="92">
        <f>sum('BC NGÀY 1'!U101:U107)</f>
        <v>0</v>
      </c>
      <c r="V18" s="92">
        <f>sum('BC NGÀY 1'!V101:V107)</f>
        <v>0</v>
      </c>
      <c r="W18" s="92">
        <f>sum('BC NGÀY 1'!W101:W107)</f>
        <v>0</v>
      </c>
      <c r="X18" s="92">
        <f>sum('BC NGÀY 1'!X101:X107)</f>
        <v>0</v>
      </c>
      <c r="Y18" s="92">
        <f>sum('BC NGÀY 1'!Y101:Y107)</f>
        <v>0</v>
      </c>
      <c r="Z18" s="92">
        <f>sum('BC NGÀY 1'!Z101:Z107)</f>
        <v>0</v>
      </c>
      <c r="AA18" s="92">
        <f>sum('BC NGÀY 1'!AA101:AA107)</f>
        <v>0</v>
      </c>
      <c r="AB18" s="92">
        <f>sum('BC NGÀY 1'!AB101:AB107)</f>
        <v>0</v>
      </c>
      <c r="AC18" s="92">
        <f>sum('BC NGÀY 1'!AC101:AC107)</f>
        <v>0</v>
      </c>
      <c r="AD18" s="92">
        <f>sum('BC NGÀY 1'!AD101:AD107)</f>
        <v>0</v>
      </c>
      <c r="AE18" s="92">
        <f>sum('BC NGÀY 1'!AE101:AE107)</f>
        <v>0</v>
      </c>
    </row>
    <row r="19">
      <c r="A19" s="75"/>
      <c r="B19" s="75"/>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row>
    <row r="20">
      <c r="A20" s="75"/>
      <c r="B20" s="75"/>
      <c r="C20" s="97"/>
      <c r="D20" s="97"/>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row>
    <row r="21">
      <c r="A21" s="75"/>
      <c r="B21" s="75"/>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row>
    <row r="22">
      <c r="A22" s="75"/>
      <c r="B22" s="75"/>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row>
    <row r="23">
      <c r="A23" s="75"/>
      <c r="B23" s="75"/>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row>
    <row r="24">
      <c r="A24" s="75"/>
      <c r="B24" s="75"/>
      <c r="C24" s="97"/>
      <c r="D24" s="97"/>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row>
    <row r="25">
      <c r="A25" s="75"/>
      <c r="B25" s="75"/>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row>
    <row r="26">
      <c r="A26" s="75"/>
      <c r="B26" s="75"/>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row>
    <row r="27">
      <c r="A27" s="75"/>
      <c r="B27" s="75"/>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row>
    <row r="28">
      <c r="A28" s="75"/>
      <c r="B28" s="75"/>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row>
    <row r="29">
      <c r="A29" s="75"/>
      <c r="B29" s="75"/>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row>
    <row r="30">
      <c r="A30" s="75"/>
      <c r="B30" s="75"/>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row>
    <row r="31">
      <c r="A31" s="75"/>
      <c r="B31" s="75"/>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row>
    <row r="32">
      <c r="A32" s="75"/>
      <c r="B32" s="75"/>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row>
    <row r="33">
      <c r="A33" s="75"/>
      <c r="B33" s="75"/>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row>
    <row r="34">
      <c r="A34" s="75"/>
      <c r="B34" s="75"/>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row>
    <row r="35">
      <c r="A35" s="75"/>
      <c r="B35" s="75"/>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row>
    <row r="36">
      <c r="A36" s="75"/>
      <c r="B36" s="75"/>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row>
    <row r="37">
      <c r="A37" s="75"/>
      <c r="B37" s="75"/>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row>
    <row r="38">
      <c r="A38" s="75"/>
      <c r="B38" s="75"/>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row>
    <row r="39">
      <c r="A39" s="75"/>
      <c r="B39" s="75"/>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row>
    <row r="40">
      <c r="A40" s="75"/>
      <c r="B40" s="75"/>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row>
    <row r="41">
      <c r="A41" s="75"/>
      <c r="B41" s="75"/>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row>
    <row r="42">
      <c r="A42" s="75"/>
      <c r="B42" s="75"/>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row>
    <row r="43">
      <c r="A43" s="75"/>
      <c r="B43" s="75"/>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row>
    <row r="44">
      <c r="A44" s="75"/>
      <c r="B44" s="75"/>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row>
    <row r="45">
      <c r="A45" s="75"/>
      <c r="B45" s="75"/>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row>
    <row r="46">
      <c r="A46" s="75"/>
      <c r="B46" s="75"/>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row>
    <row r="47">
      <c r="A47" s="75"/>
      <c r="B47" s="75"/>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row>
    <row r="48">
      <c r="A48" s="75"/>
      <c r="B48" s="75"/>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row>
    <row r="49">
      <c r="A49" s="75"/>
      <c r="B49" s="75"/>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row>
    <row r="50">
      <c r="A50" s="75"/>
      <c r="B50" s="75"/>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row>
    <row r="51">
      <c r="A51" s="75"/>
      <c r="B51" s="75"/>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row>
    <row r="52">
      <c r="A52" s="75"/>
      <c r="B52" s="75"/>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row>
    <row r="53">
      <c r="A53" s="75"/>
      <c r="B53" s="75"/>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row>
    <row r="54">
      <c r="A54" s="75"/>
      <c r="B54" s="75"/>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row>
    <row r="55">
      <c r="A55" s="75"/>
      <c r="B55" s="75"/>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row>
    <row r="56">
      <c r="A56" s="75"/>
      <c r="B56" s="75"/>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row>
    <row r="57">
      <c r="A57" s="75"/>
      <c r="B57" s="75"/>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row>
    <row r="58">
      <c r="A58" s="75"/>
      <c r="B58" s="75"/>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row>
    <row r="59">
      <c r="A59" s="75"/>
      <c r="B59" s="75"/>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row>
    <row r="60">
      <c r="A60" s="75"/>
      <c r="B60" s="75"/>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row>
    <row r="61">
      <c r="A61" s="75"/>
      <c r="B61" s="75"/>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row>
    <row r="62">
      <c r="A62" s="75"/>
      <c r="B62" s="75"/>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row>
    <row r="63">
      <c r="A63" s="75"/>
      <c r="B63" s="75"/>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row>
    <row r="64">
      <c r="A64" s="75"/>
      <c r="B64" s="75"/>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row>
    <row r="65">
      <c r="A65" s="75"/>
      <c r="B65" s="75"/>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row>
    <row r="66">
      <c r="A66" s="75"/>
      <c r="B66" s="75"/>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row>
    <row r="67">
      <c r="A67" s="75"/>
      <c r="B67" s="75"/>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row>
    <row r="68">
      <c r="A68" s="75"/>
      <c r="B68" s="75"/>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row>
    <row r="69">
      <c r="A69" s="75"/>
      <c r="B69" s="75"/>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row>
    <row r="70">
      <c r="A70" s="75"/>
      <c r="B70" s="75"/>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row>
    <row r="71">
      <c r="A71" s="75"/>
      <c r="B71" s="75"/>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row>
    <row r="72">
      <c r="A72" s="75"/>
      <c r="B72" s="75"/>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row>
    <row r="73">
      <c r="A73" s="75"/>
      <c r="B73" s="75"/>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row>
    <row r="74">
      <c r="A74" s="75"/>
      <c r="B74" s="75"/>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row>
    <row r="75">
      <c r="A75" s="75"/>
      <c r="B75" s="75"/>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row>
    <row r="76">
      <c r="A76" s="75"/>
      <c r="B76" s="75"/>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row>
    <row r="77">
      <c r="A77" s="75"/>
      <c r="B77" s="75"/>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row>
    <row r="78">
      <c r="A78" s="75"/>
      <c r="B78" s="75"/>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row>
    <row r="79">
      <c r="A79" s="75"/>
      <c r="B79" s="75"/>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row>
    <row r="80">
      <c r="A80" s="75"/>
      <c r="B80" s="75"/>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row>
    <row r="81">
      <c r="A81" s="75"/>
      <c r="B81" s="75"/>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row>
    <row r="82">
      <c r="A82" s="75"/>
      <c r="B82" s="75"/>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row>
    <row r="83">
      <c r="A83" s="75"/>
      <c r="B83" s="75"/>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row>
    <row r="84">
      <c r="A84" s="75"/>
      <c r="B84" s="75"/>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row>
    <row r="85">
      <c r="A85" s="75"/>
      <c r="B85" s="75"/>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row>
    <row r="86">
      <c r="A86" s="75"/>
      <c r="B86" s="75"/>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row>
    <row r="87">
      <c r="A87" s="75"/>
      <c r="B87" s="75"/>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row>
    <row r="88">
      <c r="A88" s="75"/>
      <c r="B88" s="75"/>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row>
    <row r="89">
      <c r="A89" s="75"/>
      <c r="B89" s="75"/>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row>
    <row r="90">
      <c r="A90" s="75"/>
      <c r="B90" s="75"/>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row>
    <row r="91">
      <c r="A91" s="75"/>
      <c r="B91" s="75"/>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row>
    <row r="92">
      <c r="A92" s="75"/>
      <c r="B92" s="75"/>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row>
    <row r="93">
      <c r="A93" s="75"/>
      <c r="B93" s="75"/>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row>
    <row r="94">
      <c r="A94" s="75"/>
      <c r="B94" s="75"/>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row>
    <row r="95">
      <c r="A95" s="75"/>
      <c r="B95" s="75"/>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row>
    <row r="96">
      <c r="A96" s="75"/>
      <c r="B96" s="75"/>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row>
    <row r="97">
      <c r="A97" s="75"/>
      <c r="B97" s="75"/>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row>
    <row r="98">
      <c r="A98" s="75"/>
      <c r="B98" s="75"/>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row>
    <row r="99">
      <c r="A99" s="75"/>
      <c r="B99" s="75"/>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row>
    <row r="100">
      <c r="A100" s="75"/>
      <c r="B100" s="75"/>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row>
    <row r="101">
      <c r="A101" s="75"/>
      <c r="B101" s="75"/>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row>
    <row r="102">
      <c r="A102" s="75"/>
      <c r="B102" s="75"/>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row>
    <row r="103">
      <c r="A103" s="75"/>
      <c r="B103" s="75"/>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row>
    <row r="104">
      <c r="A104" s="75"/>
      <c r="B104" s="75"/>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row>
    <row r="105">
      <c r="A105" s="75"/>
      <c r="B105" s="75"/>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row>
    <row r="106">
      <c r="A106" s="75"/>
      <c r="B106" s="75"/>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row>
    <row r="107">
      <c r="A107" s="75"/>
      <c r="B107" s="75"/>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row>
    <row r="108">
      <c r="A108" s="75"/>
      <c r="B108" s="75"/>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row>
    <row r="109">
      <c r="A109" s="75"/>
      <c r="B109" s="75"/>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row>
    <row r="110">
      <c r="A110" s="75"/>
      <c r="B110" s="75"/>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row>
    <row r="111">
      <c r="A111" s="75"/>
      <c r="B111" s="75"/>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row>
    <row r="112">
      <c r="A112" s="75"/>
      <c r="B112" s="75"/>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row>
    <row r="113">
      <c r="A113" s="75"/>
      <c r="B113" s="75"/>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row>
    <row r="114">
      <c r="A114" s="75"/>
      <c r="B114" s="75"/>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row>
    <row r="115">
      <c r="A115" s="75"/>
      <c r="B115" s="7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row>
    <row r="116">
      <c r="A116" s="75"/>
      <c r="B116" s="75"/>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row>
    <row r="117">
      <c r="A117" s="75"/>
      <c r="B117" s="75"/>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row>
    <row r="118">
      <c r="A118" s="75"/>
      <c r="B118" s="75"/>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row>
    <row r="119">
      <c r="A119" s="75"/>
      <c r="B119" s="7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row>
    <row r="120">
      <c r="A120" s="75"/>
      <c r="B120" s="75"/>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row>
    <row r="121">
      <c r="A121" s="75"/>
      <c r="B121" s="75"/>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row>
    <row r="122">
      <c r="A122" s="75"/>
      <c r="B122" s="75"/>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row>
    <row r="123">
      <c r="A123" s="75"/>
      <c r="B123" s="75"/>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row>
    <row r="124">
      <c r="A124" s="75"/>
      <c r="B124" s="75"/>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row>
    <row r="125">
      <c r="A125" s="75"/>
      <c r="B125" s="75"/>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row>
    <row r="126">
      <c r="A126" s="75"/>
      <c r="B126" s="75"/>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row>
    <row r="127">
      <c r="A127" s="75"/>
      <c r="B127" s="75"/>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row>
    <row r="128">
      <c r="A128" s="75"/>
      <c r="B128" s="7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row>
    <row r="129">
      <c r="A129" s="75"/>
      <c r="B129" s="75"/>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row>
    <row r="130">
      <c r="A130" s="75"/>
      <c r="B130" s="75"/>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row>
    <row r="131">
      <c r="A131" s="75"/>
      <c r="B131" s="75"/>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row>
    <row r="132">
      <c r="A132" s="75"/>
      <c r="B132" s="75"/>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row>
    <row r="133">
      <c r="A133" s="75"/>
      <c r="B133" s="75"/>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row>
    <row r="134">
      <c r="A134" s="75"/>
      <c r="B134" s="75"/>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row>
    <row r="135">
      <c r="A135" s="75"/>
      <c r="B135" s="75"/>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row>
    <row r="136">
      <c r="A136" s="75"/>
      <c r="B136" s="75"/>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row>
    <row r="137">
      <c r="A137" s="75"/>
      <c r="B137" s="75"/>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row>
    <row r="138">
      <c r="A138" s="75"/>
      <c r="B138" s="75"/>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row>
    <row r="139">
      <c r="A139" s="75"/>
      <c r="B139" s="75"/>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row>
    <row r="140">
      <c r="A140" s="75"/>
      <c r="B140" s="75"/>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row>
    <row r="141">
      <c r="A141" s="75"/>
      <c r="B141" s="75"/>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row>
    <row r="142">
      <c r="A142" s="75"/>
      <c r="B142" s="75"/>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row>
    <row r="143">
      <c r="A143" s="75"/>
      <c r="B143" s="75"/>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row>
    <row r="144">
      <c r="A144" s="75"/>
      <c r="B144" s="75"/>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row>
    <row r="145">
      <c r="A145" s="75"/>
      <c r="B145" s="75"/>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row>
    <row r="146">
      <c r="A146" s="75"/>
      <c r="B146" s="75"/>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row>
    <row r="147">
      <c r="A147" s="75"/>
      <c r="B147" s="75"/>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row>
    <row r="148">
      <c r="A148" s="75"/>
      <c r="B148" s="75"/>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row>
    <row r="149">
      <c r="A149" s="75"/>
      <c r="B149" s="75"/>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row>
    <row r="150">
      <c r="A150" s="75"/>
      <c r="B150" s="75"/>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row>
    <row r="151">
      <c r="A151" s="75"/>
      <c r="B151" s="75"/>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row>
    <row r="152">
      <c r="A152" s="75"/>
      <c r="B152" s="75"/>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row>
    <row r="153">
      <c r="A153" s="75"/>
      <c r="B153" s="75"/>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row>
    <row r="154">
      <c r="A154" s="75"/>
      <c r="B154" s="75"/>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row>
    <row r="155">
      <c r="A155" s="75"/>
      <c r="B155" s="75"/>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row>
    <row r="156">
      <c r="A156" s="75"/>
      <c r="B156" s="75"/>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row>
    <row r="157">
      <c r="A157" s="75"/>
      <c r="B157" s="75"/>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row>
    <row r="158">
      <c r="A158" s="75"/>
      <c r="B158" s="75"/>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row>
    <row r="159">
      <c r="A159" s="75"/>
      <c r="B159" s="75"/>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row>
    <row r="160">
      <c r="A160" s="75"/>
      <c r="B160" s="75"/>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row>
    <row r="161">
      <c r="A161" s="75"/>
      <c r="B161" s="75"/>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row>
    <row r="162">
      <c r="A162" s="75"/>
      <c r="B162" s="75"/>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row>
    <row r="163">
      <c r="A163" s="75"/>
      <c r="B163" s="75"/>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row>
    <row r="164">
      <c r="A164" s="75"/>
      <c r="B164" s="75"/>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row>
    <row r="165">
      <c r="A165" s="75"/>
      <c r="B165" s="75"/>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row>
    <row r="166">
      <c r="A166" s="75"/>
      <c r="B166" s="75"/>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row>
    <row r="167">
      <c r="A167" s="75"/>
      <c r="B167" s="75"/>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row>
    <row r="168">
      <c r="A168" s="75"/>
      <c r="B168" s="75"/>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row>
    <row r="169">
      <c r="A169" s="75"/>
      <c r="B169" s="75"/>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row>
    <row r="170">
      <c r="A170" s="75"/>
      <c r="B170" s="75"/>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row>
    <row r="171">
      <c r="A171" s="75"/>
      <c r="B171" s="75"/>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row>
    <row r="172">
      <c r="A172" s="75"/>
      <c r="B172" s="75"/>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row>
    <row r="173">
      <c r="A173" s="75"/>
      <c r="B173" s="75"/>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row>
    <row r="174">
      <c r="A174" s="75"/>
      <c r="B174" s="75"/>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row>
    <row r="175">
      <c r="A175" s="75"/>
      <c r="B175" s="75"/>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row>
    <row r="176">
      <c r="A176" s="75"/>
      <c r="B176" s="75"/>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row>
    <row r="177">
      <c r="A177" s="75"/>
      <c r="B177" s="75"/>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row>
    <row r="178">
      <c r="A178" s="75"/>
      <c r="B178" s="75"/>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row>
    <row r="179">
      <c r="A179" s="75"/>
      <c r="B179" s="75"/>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row>
    <row r="180">
      <c r="A180" s="75"/>
      <c r="B180" s="75"/>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row>
    <row r="181">
      <c r="A181" s="75"/>
      <c r="B181" s="75"/>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row>
    <row r="182">
      <c r="A182" s="75"/>
      <c r="B182" s="75"/>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row>
    <row r="183">
      <c r="A183" s="75"/>
      <c r="B183" s="75"/>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row>
    <row r="184">
      <c r="A184" s="75"/>
      <c r="B184" s="75"/>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row>
    <row r="185">
      <c r="A185" s="75"/>
      <c r="B185" s="75"/>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row>
    <row r="186">
      <c r="A186" s="75"/>
      <c r="B186" s="75"/>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row>
    <row r="187">
      <c r="A187" s="75"/>
      <c r="B187" s="75"/>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row>
    <row r="188">
      <c r="A188" s="75"/>
      <c r="B188" s="75"/>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row>
    <row r="189">
      <c r="A189" s="75"/>
      <c r="B189" s="75"/>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row>
    <row r="190">
      <c r="A190" s="75"/>
      <c r="B190" s="75"/>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row>
    <row r="191">
      <c r="A191" s="75"/>
      <c r="B191" s="75"/>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row>
    <row r="192">
      <c r="A192" s="75"/>
      <c r="B192" s="75"/>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row>
    <row r="193">
      <c r="A193" s="75"/>
      <c r="B193" s="75"/>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row>
    <row r="194">
      <c r="A194" s="75"/>
      <c r="B194" s="75"/>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row>
    <row r="195">
      <c r="A195" s="75"/>
      <c r="B195" s="75"/>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row>
    <row r="196">
      <c r="A196" s="75"/>
      <c r="B196" s="75"/>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row>
    <row r="197">
      <c r="A197" s="75"/>
      <c r="B197" s="75"/>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row>
    <row r="198">
      <c r="A198" s="75"/>
      <c r="B198" s="75"/>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row>
    <row r="199">
      <c r="A199" s="75"/>
      <c r="B199" s="75"/>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row>
    <row r="200">
      <c r="A200" s="75"/>
      <c r="B200" s="75"/>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row>
    <row r="201">
      <c r="A201" s="75"/>
      <c r="B201" s="75"/>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row>
    <row r="202">
      <c r="A202" s="75"/>
      <c r="B202" s="75"/>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row>
    <row r="203">
      <c r="A203" s="75"/>
      <c r="B203" s="75"/>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row>
    <row r="204">
      <c r="A204" s="75"/>
      <c r="B204" s="75"/>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row>
    <row r="205">
      <c r="A205" s="75"/>
      <c r="B205" s="75"/>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row>
    <row r="206">
      <c r="A206" s="75"/>
      <c r="B206" s="75"/>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row>
    <row r="207">
      <c r="A207" s="75"/>
      <c r="B207" s="75"/>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row>
    <row r="208">
      <c r="A208" s="75"/>
      <c r="B208" s="75"/>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row>
    <row r="209">
      <c r="A209" s="75"/>
      <c r="B209" s="75"/>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row>
    <row r="210">
      <c r="A210" s="75"/>
      <c r="B210" s="75"/>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row>
    <row r="211">
      <c r="A211" s="75"/>
      <c r="B211" s="75"/>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row>
    <row r="212">
      <c r="A212" s="75"/>
      <c r="B212" s="75"/>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row>
    <row r="213">
      <c r="A213" s="75"/>
      <c r="B213" s="75"/>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row>
    <row r="214">
      <c r="A214" s="75"/>
      <c r="B214" s="75"/>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row>
    <row r="215">
      <c r="A215" s="75"/>
      <c r="B215" s="75"/>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row>
    <row r="216">
      <c r="A216" s="75"/>
      <c r="B216" s="75"/>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row>
    <row r="217">
      <c r="A217" s="75"/>
      <c r="B217" s="75"/>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row>
    <row r="218">
      <c r="A218" s="75"/>
      <c r="B218" s="75"/>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row>
    <row r="219">
      <c r="A219" s="75"/>
      <c r="B219" s="75"/>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row>
    <row r="220">
      <c r="A220" s="75"/>
      <c r="B220" s="75"/>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row>
    <row r="221">
      <c r="A221" s="75"/>
      <c r="B221" s="75"/>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row>
    <row r="222">
      <c r="A222" s="75"/>
      <c r="B222" s="75"/>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row>
    <row r="223">
      <c r="A223" s="75"/>
      <c r="B223" s="75"/>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row>
    <row r="224">
      <c r="A224" s="75"/>
      <c r="B224" s="75"/>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row>
    <row r="225">
      <c r="A225" s="75"/>
      <c r="B225" s="75"/>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row>
    <row r="226">
      <c r="A226" s="75"/>
      <c r="B226" s="75"/>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row>
    <row r="227">
      <c r="A227" s="75"/>
      <c r="B227" s="75"/>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row>
    <row r="228">
      <c r="A228" s="75"/>
      <c r="B228" s="75"/>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row>
    <row r="229">
      <c r="A229" s="75"/>
      <c r="B229" s="75"/>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row>
    <row r="230">
      <c r="A230" s="75"/>
      <c r="B230" s="75"/>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row>
    <row r="231">
      <c r="A231" s="75"/>
      <c r="B231" s="75"/>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row>
    <row r="232">
      <c r="A232" s="75"/>
      <c r="B232" s="75"/>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row>
    <row r="233">
      <c r="A233" s="75"/>
      <c r="B233" s="75"/>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row>
    <row r="234">
      <c r="A234" s="75"/>
      <c r="B234" s="75"/>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row>
    <row r="235">
      <c r="A235" s="75"/>
      <c r="B235" s="75"/>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row>
    <row r="236">
      <c r="A236" s="75"/>
      <c r="B236" s="75"/>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row>
    <row r="237">
      <c r="A237" s="75"/>
      <c r="B237" s="75"/>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row>
    <row r="238">
      <c r="A238" s="75"/>
      <c r="B238" s="75"/>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row>
    <row r="239">
      <c r="A239" s="75"/>
      <c r="B239" s="75"/>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row>
    <row r="240">
      <c r="A240" s="75"/>
      <c r="B240" s="75"/>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row>
    <row r="241">
      <c r="A241" s="75"/>
      <c r="B241" s="75"/>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row>
    <row r="242">
      <c r="A242" s="75"/>
      <c r="B242" s="75"/>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row>
    <row r="243">
      <c r="A243" s="75"/>
      <c r="B243" s="75"/>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row>
    <row r="244">
      <c r="A244" s="75"/>
      <c r="B244" s="75"/>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row>
    <row r="245">
      <c r="A245" s="75"/>
      <c r="B245" s="75"/>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row>
    <row r="246">
      <c r="A246" s="75"/>
      <c r="B246" s="75"/>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row>
    <row r="247">
      <c r="A247" s="75"/>
      <c r="B247" s="75"/>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row>
    <row r="248">
      <c r="A248" s="75"/>
      <c r="B248" s="75"/>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row>
    <row r="249">
      <c r="A249" s="75"/>
      <c r="B249" s="75"/>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row>
    <row r="250">
      <c r="A250" s="75"/>
      <c r="B250" s="75"/>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row>
    <row r="251">
      <c r="A251" s="75"/>
      <c r="B251" s="75"/>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row>
    <row r="252">
      <c r="A252" s="75"/>
      <c r="B252" s="75"/>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row>
    <row r="253">
      <c r="A253" s="75"/>
      <c r="B253" s="75"/>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row>
    <row r="254">
      <c r="A254" s="75"/>
      <c r="B254" s="75"/>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row>
    <row r="255">
      <c r="A255" s="75"/>
      <c r="B255" s="75"/>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row>
    <row r="256">
      <c r="A256" s="75"/>
      <c r="B256" s="75"/>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row>
    <row r="257">
      <c r="A257" s="75"/>
      <c r="B257" s="75"/>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row>
    <row r="258">
      <c r="A258" s="75"/>
      <c r="B258" s="75"/>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row>
    <row r="259">
      <c r="A259" s="75"/>
      <c r="B259" s="75"/>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row>
    <row r="260">
      <c r="A260" s="75"/>
      <c r="B260" s="75"/>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row>
    <row r="261">
      <c r="A261" s="75"/>
      <c r="B261" s="75"/>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row>
    <row r="262">
      <c r="A262" s="75"/>
      <c r="B262" s="75"/>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row>
    <row r="263">
      <c r="A263" s="75"/>
      <c r="B263" s="75"/>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row>
    <row r="264">
      <c r="A264" s="75"/>
      <c r="B264" s="75"/>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row>
    <row r="265">
      <c r="A265" s="75"/>
      <c r="B265" s="75"/>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row>
    <row r="266">
      <c r="A266" s="75"/>
      <c r="B266" s="75"/>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row>
    <row r="267">
      <c r="A267" s="75"/>
      <c r="B267" s="75"/>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row>
    <row r="268">
      <c r="A268" s="75"/>
      <c r="B268" s="75"/>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row>
    <row r="269">
      <c r="A269" s="75"/>
      <c r="B269" s="75"/>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row>
    <row r="270">
      <c r="A270" s="75"/>
      <c r="B270" s="75"/>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row>
    <row r="271">
      <c r="A271" s="75"/>
      <c r="B271" s="75"/>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row>
    <row r="272">
      <c r="A272" s="75"/>
      <c r="B272" s="75"/>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row>
    <row r="273">
      <c r="A273" s="75"/>
      <c r="B273" s="75"/>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row>
    <row r="274">
      <c r="A274" s="75"/>
      <c r="B274" s="75"/>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row>
    <row r="275">
      <c r="A275" s="75"/>
      <c r="B275" s="75"/>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row>
    <row r="276">
      <c r="A276" s="75"/>
      <c r="B276" s="75"/>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row>
    <row r="277">
      <c r="A277" s="75"/>
      <c r="B277" s="75"/>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row>
    <row r="278">
      <c r="A278" s="75"/>
      <c r="B278" s="75"/>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row>
    <row r="279">
      <c r="A279" s="75"/>
      <c r="B279" s="75"/>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row>
    <row r="280">
      <c r="A280" s="75"/>
      <c r="B280" s="75"/>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row>
    <row r="281">
      <c r="A281" s="75"/>
      <c r="B281" s="75"/>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row>
    <row r="282">
      <c r="A282" s="75"/>
      <c r="B282" s="75"/>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row>
    <row r="283">
      <c r="A283" s="75"/>
      <c r="B283" s="75"/>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row>
    <row r="284">
      <c r="A284" s="75"/>
      <c r="B284" s="75"/>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row>
    <row r="285">
      <c r="A285" s="75"/>
      <c r="B285" s="75"/>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row>
    <row r="286">
      <c r="A286" s="75"/>
      <c r="B286" s="75"/>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row>
    <row r="287">
      <c r="A287" s="75"/>
      <c r="B287" s="75"/>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row>
    <row r="288">
      <c r="A288" s="75"/>
      <c r="B288" s="75"/>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row>
    <row r="289">
      <c r="A289" s="75"/>
      <c r="B289" s="75"/>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row>
    <row r="290">
      <c r="A290" s="75"/>
      <c r="B290" s="75"/>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row>
    <row r="291">
      <c r="A291" s="75"/>
      <c r="B291" s="75"/>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row>
    <row r="292">
      <c r="A292" s="75"/>
      <c r="B292" s="75"/>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row>
    <row r="293">
      <c r="A293" s="75"/>
      <c r="B293" s="75"/>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row>
    <row r="294">
      <c r="A294" s="75"/>
      <c r="B294" s="75"/>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row>
    <row r="295">
      <c r="A295" s="75"/>
      <c r="B295" s="75"/>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row>
    <row r="296">
      <c r="A296" s="75"/>
      <c r="B296" s="75"/>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row>
    <row r="297">
      <c r="A297" s="75"/>
      <c r="B297" s="75"/>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row>
    <row r="298">
      <c r="A298" s="75"/>
      <c r="B298" s="75"/>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row>
    <row r="299">
      <c r="A299" s="75"/>
      <c r="B299" s="75"/>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row>
    <row r="300">
      <c r="A300" s="75"/>
      <c r="B300" s="75"/>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row>
    <row r="301">
      <c r="A301" s="75"/>
      <c r="B301" s="75"/>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row>
    <row r="302">
      <c r="A302" s="75"/>
      <c r="B302" s="75"/>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row>
    <row r="303">
      <c r="A303" s="75"/>
      <c r="B303" s="75"/>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row>
    <row r="304">
      <c r="A304" s="75"/>
      <c r="B304" s="75"/>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row>
    <row r="305">
      <c r="A305" s="75"/>
      <c r="B305" s="75"/>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row>
    <row r="306">
      <c r="A306" s="75"/>
      <c r="B306" s="75"/>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row>
    <row r="307">
      <c r="A307" s="75"/>
      <c r="B307" s="75"/>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row>
    <row r="308">
      <c r="A308" s="75"/>
      <c r="B308" s="75"/>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row>
    <row r="309">
      <c r="A309" s="75"/>
      <c r="B309" s="75"/>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row>
    <row r="310">
      <c r="A310" s="75"/>
      <c r="B310" s="75"/>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row>
    <row r="311">
      <c r="A311" s="75"/>
      <c r="B311" s="75"/>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row>
    <row r="312">
      <c r="A312" s="75"/>
      <c r="B312" s="75"/>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row>
    <row r="313">
      <c r="A313" s="75"/>
      <c r="B313" s="75"/>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row>
    <row r="314">
      <c r="A314" s="75"/>
      <c r="B314" s="75"/>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row>
    <row r="315">
      <c r="A315" s="75"/>
      <c r="B315" s="75"/>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row>
    <row r="316">
      <c r="A316" s="75"/>
      <c r="B316" s="75"/>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row>
    <row r="317">
      <c r="A317" s="75"/>
      <c r="B317" s="75"/>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row>
    <row r="318">
      <c r="A318" s="75"/>
      <c r="B318" s="75"/>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row>
    <row r="319">
      <c r="A319" s="75"/>
      <c r="B319" s="75"/>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row>
    <row r="320">
      <c r="A320" s="75"/>
      <c r="B320" s="75"/>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row>
    <row r="321">
      <c r="A321" s="75"/>
      <c r="B321" s="75"/>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row>
    <row r="322">
      <c r="A322" s="75"/>
      <c r="B322" s="75"/>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row>
    <row r="323">
      <c r="A323" s="75"/>
      <c r="B323" s="75"/>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row>
    <row r="324">
      <c r="A324" s="75"/>
      <c r="B324" s="75"/>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row>
    <row r="325">
      <c r="A325" s="75"/>
      <c r="B325" s="75"/>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row>
    <row r="326">
      <c r="A326" s="75"/>
      <c r="B326" s="75"/>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row>
    <row r="327">
      <c r="A327" s="75"/>
      <c r="B327" s="75"/>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row>
    <row r="328">
      <c r="A328" s="75"/>
      <c r="B328" s="75"/>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row>
    <row r="329">
      <c r="A329" s="75"/>
      <c r="B329" s="75"/>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row>
    <row r="330">
      <c r="A330" s="75"/>
      <c r="B330" s="75"/>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row>
    <row r="331">
      <c r="A331" s="75"/>
      <c r="B331" s="75"/>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row>
    <row r="332">
      <c r="A332" s="75"/>
      <c r="B332" s="75"/>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row>
    <row r="333">
      <c r="A333" s="75"/>
      <c r="B333" s="75"/>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row>
    <row r="334">
      <c r="A334" s="75"/>
      <c r="B334" s="75"/>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row>
    <row r="335">
      <c r="A335" s="75"/>
      <c r="B335" s="75"/>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row>
    <row r="336">
      <c r="A336" s="75"/>
      <c r="B336" s="75"/>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row>
    <row r="337">
      <c r="A337" s="75"/>
      <c r="B337" s="75"/>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row>
    <row r="338">
      <c r="A338" s="75"/>
      <c r="B338" s="75"/>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row>
    <row r="339">
      <c r="A339" s="75"/>
      <c r="B339" s="75"/>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row>
    <row r="340">
      <c r="A340" s="75"/>
      <c r="B340" s="75"/>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row>
    <row r="341">
      <c r="A341" s="75"/>
      <c r="B341" s="75"/>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row>
    <row r="342">
      <c r="A342" s="75"/>
      <c r="B342" s="75"/>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row>
    <row r="343">
      <c r="A343" s="75"/>
      <c r="B343" s="75"/>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row>
    <row r="344">
      <c r="A344" s="75"/>
      <c r="B344" s="75"/>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row>
    <row r="345">
      <c r="A345" s="75"/>
      <c r="B345" s="75"/>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row>
    <row r="346">
      <c r="A346" s="75"/>
      <c r="B346" s="75"/>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row>
    <row r="347">
      <c r="A347" s="75"/>
      <c r="B347" s="75"/>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row>
    <row r="348">
      <c r="A348" s="75"/>
      <c r="B348" s="75"/>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row>
    <row r="349">
      <c r="A349" s="75"/>
      <c r="B349" s="75"/>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row>
    <row r="350">
      <c r="A350" s="75"/>
      <c r="B350" s="75"/>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row>
    <row r="351">
      <c r="A351" s="75"/>
      <c r="B351" s="75"/>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row>
    <row r="352">
      <c r="A352" s="75"/>
      <c r="B352" s="75"/>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row>
    <row r="353">
      <c r="A353" s="75"/>
      <c r="B353" s="75"/>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row>
    <row r="354">
      <c r="A354" s="75"/>
      <c r="B354" s="75"/>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row>
    <row r="355">
      <c r="A355" s="75"/>
      <c r="B355" s="75"/>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row>
    <row r="356">
      <c r="A356" s="75"/>
      <c r="B356" s="75"/>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row>
    <row r="357">
      <c r="A357" s="75"/>
      <c r="B357" s="75"/>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row>
    <row r="358">
      <c r="A358" s="75"/>
      <c r="B358" s="75"/>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row>
    <row r="359">
      <c r="A359" s="75"/>
      <c r="B359" s="75"/>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row>
    <row r="360">
      <c r="A360" s="75"/>
      <c r="B360" s="75"/>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row>
    <row r="361">
      <c r="A361" s="75"/>
      <c r="B361" s="75"/>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row>
    <row r="362">
      <c r="A362" s="75"/>
      <c r="B362" s="75"/>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row>
    <row r="363">
      <c r="A363" s="75"/>
      <c r="B363" s="75"/>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row>
    <row r="364">
      <c r="A364" s="75"/>
      <c r="B364" s="75"/>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row>
    <row r="365">
      <c r="A365" s="75"/>
      <c r="B365" s="75"/>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row>
    <row r="366">
      <c r="A366" s="75"/>
      <c r="B366" s="75"/>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row>
    <row r="367">
      <c r="A367" s="75"/>
      <c r="B367" s="75"/>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row>
    <row r="368">
      <c r="A368" s="75"/>
      <c r="B368" s="75"/>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row>
    <row r="369">
      <c r="A369" s="75"/>
      <c r="B369" s="75"/>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row>
    <row r="370">
      <c r="A370" s="75"/>
      <c r="B370" s="75"/>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row>
    <row r="371">
      <c r="A371" s="75"/>
      <c r="B371" s="75"/>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row>
    <row r="372">
      <c r="A372" s="75"/>
      <c r="B372" s="75"/>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row>
    <row r="373">
      <c r="A373" s="75"/>
      <c r="B373" s="75"/>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row>
    <row r="374">
      <c r="A374" s="75"/>
      <c r="B374" s="75"/>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row>
    <row r="375">
      <c r="A375" s="75"/>
      <c r="B375" s="75"/>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row>
    <row r="376">
      <c r="A376" s="75"/>
      <c r="B376" s="75"/>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row>
    <row r="377">
      <c r="A377" s="75"/>
      <c r="B377" s="75"/>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row>
    <row r="378">
      <c r="A378" s="75"/>
      <c r="B378" s="75"/>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row>
    <row r="379">
      <c r="A379" s="75"/>
      <c r="B379" s="75"/>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row>
    <row r="380">
      <c r="A380" s="75"/>
      <c r="B380" s="75"/>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row>
    <row r="381">
      <c r="A381" s="75"/>
      <c r="B381" s="75"/>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row>
    <row r="382">
      <c r="A382" s="75"/>
      <c r="B382" s="75"/>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row>
    <row r="383">
      <c r="A383" s="75"/>
      <c r="B383" s="75"/>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row>
    <row r="384">
      <c r="A384" s="75"/>
      <c r="B384" s="75"/>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row>
    <row r="385">
      <c r="A385" s="75"/>
      <c r="B385" s="75"/>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row>
    <row r="386">
      <c r="A386" s="75"/>
      <c r="B386" s="75"/>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row>
    <row r="387">
      <c r="A387" s="75"/>
      <c r="B387" s="75"/>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row>
    <row r="388">
      <c r="A388" s="75"/>
      <c r="B388" s="75"/>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row>
    <row r="389">
      <c r="A389" s="75"/>
      <c r="B389" s="75"/>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row>
    <row r="390">
      <c r="A390" s="75"/>
      <c r="B390" s="75"/>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row>
    <row r="391">
      <c r="A391" s="75"/>
      <c r="B391" s="75"/>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row>
    <row r="392">
      <c r="A392" s="75"/>
      <c r="B392" s="75"/>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row>
    <row r="393">
      <c r="A393" s="75"/>
      <c r="B393" s="75"/>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row>
    <row r="394">
      <c r="A394" s="75"/>
      <c r="B394" s="75"/>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row>
    <row r="395">
      <c r="A395" s="75"/>
      <c r="B395" s="75"/>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row>
    <row r="396">
      <c r="A396" s="75"/>
      <c r="B396" s="75"/>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row>
    <row r="397">
      <c r="A397" s="75"/>
      <c r="B397" s="75"/>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row>
    <row r="398">
      <c r="A398" s="75"/>
      <c r="B398" s="75"/>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row>
    <row r="399">
      <c r="A399" s="75"/>
      <c r="B399" s="75"/>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row>
    <row r="400">
      <c r="A400" s="75"/>
      <c r="B400" s="75"/>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row>
    <row r="401">
      <c r="A401" s="75"/>
      <c r="B401" s="75"/>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row>
    <row r="402">
      <c r="A402" s="75"/>
      <c r="B402" s="75"/>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row>
    <row r="403">
      <c r="A403" s="75"/>
      <c r="B403" s="75"/>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row>
    <row r="404">
      <c r="A404" s="75"/>
      <c r="B404" s="75"/>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row>
    <row r="405">
      <c r="A405" s="75"/>
      <c r="B405" s="75"/>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row>
    <row r="406">
      <c r="A406" s="75"/>
      <c r="B406" s="75"/>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row>
    <row r="407">
      <c r="A407" s="75"/>
      <c r="B407" s="75"/>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row>
    <row r="408">
      <c r="A408" s="75"/>
      <c r="B408" s="75"/>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row>
    <row r="409">
      <c r="A409" s="75"/>
      <c r="B409" s="75"/>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row>
    <row r="410">
      <c r="A410" s="75"/>
      <c r="B410" s="75"/>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row>
    <row r="411">
      <c r="A411" s="75"/>
      <c r="B411" s="75"/>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row>
    <row r="412">
      <c r="A412" s="75"/>
      <c r="B412" s="75"/>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row>
    <row r="413">
      <c r="A413" s="75"/>
      <c r="B413" s="75"/>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row>
    <row r="414">
      <c r="A414" s="75"/>
      <c r="B414" s="75"/>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row>
    <row r="415">
      <c r="A415" s="75"/>
      <c r="B415" s="75"/>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row>
    <row r="416">
      <c r="A416" s="75"/>
      <c r="B416" s="75"/>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row>
    <row r="417">
      <c r="A417" s="75"/>
      <c r="B417" s="75"/>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row>
    <row r="418">
      <c r="A418" s="75"/>
      <c r="B418" s="75"/>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row>
    <row r="419">
      <c r="A419" s="75"/>
      <c r="B419" s="75"/>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row>
    <row r="420">
      <c r="A420" s="75"/>
      <c r="B420" s="75"/>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row>
    <row r="421">
      <c r="A421" s="75"/>
      <c r="B421" s="75"/>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row>
    <row r="422">
      <c r="A422" s="75"/>
      <c r="B422" s="75"/>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row>
    <row r="423">
      <c r="A423" s="75"/>
      <c r="B423" s="75"/>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row>
    <row r="424">
      <c r="A424" s="75"/>
      <c r="B424" s="75"/>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row>
    <row r="425">
      <c r="A425" s="75"/>
      <c r="B425" s="75"/>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row>
    <row r="426">
      <c r="A426" s="75"/>
      <c r="B426" s="75"/>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row>
    <row r="427">
      <c r="A427" s="75"/>
      <c r="B427" s="75"/>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row>
    <row r="428">
      <c r="A428" s="75"/>
      <c r="B428" s="75"/>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row>
    <row r="429">
      <c r="A429" s="75"/>
      <c r="B429" s="75"/>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row>
    <row r="430">
      <c r="A430" s="75"/>
      <c r="B430" s="75"/>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row>
    <row r="431">
      <c r="A431" s="75"/>
      <c r="B431" s="75"/>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row>
    <row r="432">
      <c r="A432" s="75"/>
      <c r="B432" s="75"/>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row>
    <row r="433">
      <c r="A433" s="75"/>
      <c r="B433" s="75"/>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row>
    <row r="434">
      <c r="A434" s="75"/>
      <c r="B434" s="75"/>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row>
    <row r="435">
      <c r="A435" s="75"/>
      <c r="B435" s="75"/>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row>
    <row r="436">
      <c r="A436" s="75"/>
      <c r="B436" s="75"/>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row>
    <row r="437">
      <c r="A437" s="75"/>
      <c r="B437" s="75"/>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row>
    <row r="438">
      <c r="A438" s="75"/>
      <c r="B438" s="75"/>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row>
    <row r="439">
      <c r="A439" s="75"/>
      <c r="B439" s="75"/>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row>
    <row r="440">
      <c r="A440" s="75"/>
      <c r="B440" s="75"/>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row>
    <row r="441">
      <c r="A441" s="75"/>
      <c r="B441" s="75"/>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row>
    <row r="442">
      <c r="A442" s="75"/>
      <c r="B442" s="75"/>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row>
    <row r="443">
      <c r="A443" s="75"/>
      <c r="B443" s="75"/>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row>
    <row r="444">
      <c r="A444" s="75"/>
      <c r="B444" s="75"/>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row>
    <row r="445">
      <c r="A445" s="75"/>
      <c r="B445" s="75"/>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row>
    <row r="446">
      <c r="A446" s="75"/>
      <c r="B446" s="75"/>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row>
    <row r="447">
      <c r="A447" s="75"/>
      <c r="B447" s="75"/>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row>
    <row r="448">
      <c r="A448" s="75"/>
      <c r="B448" s="75"/>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row>
    <row r="449">
      <c r="A449" s="75"/>
      <c r="B449" s="75"/>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row>
    <row r="450">
      <c r="A450" s="75"/>
      <c r="B450" s="75"/>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row>
    <row r="451">
      <c r="A451" s="75"/>
      <c r="B451" s="75"/>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row>
    <row r="452">
      <c r="A452" s="75"/>
      <c r="B452" s="75"/>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row>
    <row r="453">
      <c r="A453" s="75"/>
      <c r="B453" s="75"/>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row>
    <row r="454">
      <c r="A454" s="75"/>
      <c r="B454" s="75"/>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row>
    <row r="455">
      <c r="A455" s="75"/>
      <c r="B455" s="75"/>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row>
    <row r="456">
      <c r="A456" s="75"/>
      <c r="B456" s="75"/>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row>
    <row r="457">
      <c r="A457" s="75"/>
      <c r="B457" s="75"/>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row>
    <row r="458">
      <c r="A458" s="75"/>
      <c r="B458" s="75"/>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row>
    <row r="459">
      <c r="A459" s="75"/>
      <c r="B459" s="75"/>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row>
    <row r="460">
      <c r="A460" s="75"/>
      <c r="B460" s="75"/>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row>
    <row r="461">
      <c r="A461" s="75"/>
      <c r="B461" s="75"/>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row>
    <row r="462">
      <c r="A462" s="75"/>
      <c r="B462" s="75"/>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row>
    <row r="463">
      <c r="A463" s="75"/>
      <c r="B463" s="75"/>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row>
    <row r="464">
      <c r="A464" s="75"/>
      <c r="B464" s="75"/>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row>
    <row r="465">
      <c r="A465" s="75"/>
      <c r="B465" s="75"/>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row>
    <row r="466">
      <c r="A466" s="75"/>
      <c r="B466" s="75"/>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row>
    <row r="467">
      <c r="A467" s="75"/>
      <c r="B467" s="75"/>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row>
    <row r="468">
      <c r="A468" s="75"/>
      <c r="B468" s="75"/>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row>
    <row r="469">
      <c r="A469" s="75"/>
      <c r="B469" s="75"/>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row>
    <row r="470">
      <c r="A470" s="75"/>
      <c r="B470" s="75"/>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row>
    <row r="471">
      <c r="A471" s="75"/>
      <c r="B471" s="75"/>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row>
    <row r="472">
      <c r="A472" s="75"/>
      <c r="B472" s="75"/>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row>
    <row r="473">
      <c r="A473" s="75"/>
      <c r="B473" s="75"/>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row>
    <row r="474">
      <c r="A474" s="75"/>
      <c r="B474" s="75"/>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row>
    <row r="475">
      <c r="A475" s="75"/>
      <c r="B475" s="75"/>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row>
    <row r="476">
      <c r="A476" s="75"/>
      <c r="B476" s="75"/>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row>
    <row r="477">
      <c r="A477" s="75"/>
      <c r="B477" s="75"/>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row>
    <row r="478">
      <c r="A478" s="75"/>
      <c r="B478" s="75"/>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row>
    <row r="479">
      <c r="A479" s="75"/>
      <c r="B479" s="75"/>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row>
    <row r="480">
      <c r="A480" s="75"/>
      <c r="B480" s="75"/>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row>
    <row r="481">
      <c r="A481" s="75"/>
      <c r="B481" s="75"/>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row>
    <row r="482">
      <c r="A482" s="75"/>
      <c r="B482" s="75"/>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row>
    <row r="483">
      <c r="A483" s="75"/>
      <c r="B483" s="75"/>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row>
    <row r="484">
      <c r="A484" s="75"/>
      <c r="B484" s="75"/>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row>
    <row r="485">
      <c r="A485" s="75"/>
      <c r="B485" s="75"/>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row>
    <row r="486">
      <c r="A486" s="75"/>
      <c r="B486" s="75"/>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row>
    <row r="487">
      <c r="A487" s="75"/>
      <c r="B487" s="75"/>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row>
    <row r="488">
      <c r="A488" s="75"/>
      <c r="B488" s="75"/>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row>
    <row r="489">
      <c r="A489" s="75"/>
      <c r="B489" s="75"/>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row>
    <row r="490">
      <c r="A490" s="75"/>
      <c r="B490" s="75"/>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row>
    <row r="491">
      <c r="A491" s="75"/>
      <c r="B491" s="75"/>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row>
    <row r="492">
      <c r="A492" s="75"/>
      <c r="B492" s="75"/>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row>
    <row r="493">
      <c r="A493" s="75"/>
      <c r="B493" s="75"/>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row>
    <row r="494">
      <c r="A494" s="75"/>
      <c r="B494" s="75"/>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row>
    <row r="495">
      <c r="A495" s="75"/>
      <c r="B495" s="75"/>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row>
    <row r="496">
      <c r="A496" s="75"/>
      <c r="B496" s="75"/>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row>
    <row r="497">
      <c r="A497" s="75"/>
      <c r="B497" s="75"/>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row>
    <row r="498">
      <c r="A498" s="75"/>
      <c r="B498" s="75"/>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row>
    <row r="499">
      <c r="A499" s="75"/>
      <c r="B499" s="75"/>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row>
    <row r="500">
      <c r="A500" s="75"/>
      <c r="B500" s="75"/>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row>
    <row r="501">
      <c r="A501" s="75"/>
      <c r="B501" s="75"/>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row>
    <row r="502">
      <c r="A502" s="75"/>
      <c r="B502" s="75"/>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row>
    <row r="503">
      <c r="A503" s="75"/>
      <c r="B503" s="75"/>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row>
    <row r="504">
      <c r="A504" s="75"/>
      <c r="B504" s="75"/>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row>
    <row r="505">
      <c r="A505" s="75"/>
      <c r="B505" s="75"/>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row>
    <row r="506">
      <c r="A506" s="75"/>
      <c r="B506" s="75"/>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row>
    <row r="507">
      <c r="A507" s="75"/>
      <c r="B507" s="75"/>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row>
    <row r="508">
      <c r="A508" s="75"/>
      <c r="B508" s="75"/>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row>
    <row r="509">
      <c r="A509" s="75"/>
      <c r="B509" s="75"/>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row>
    <row r="510">
      <c r="A510" s="75"/>
      <c r="B510" s="75"/>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row>
    <row r="511">
      <c r="A511" s="75"/>
      <c r="B511" s="75"/>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row>
    <row r="512">
      <c r="A512" s="75"/>
      <c r="B512" s="75"/>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row>
    <row r="513">
      <c r="A513" s="75"/>
      <c r="B513" s="75"/>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row>
    <row r="514">
      <c r="A514" s="75"/>
      <c r="B514" s="75"/>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row>
    <row r="515">
      <c r="A515" s="75"/>
      <c r="B515" s="75"/>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row>
    <row r="516">
      <c r="A516" s="75"/>
      <c r="B516" s="75"/>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row>
    <row r="517">
      <c r="A517" s="75"/>
      <c r="B517" s="75"/>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row>
    <row r="518">
      <c r="A518" s="75"/>
      <c r="B518" s="75"/>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row>
    <row r="519">
      <c r="A519" s="75"/>
      <c r="B519" s="75"/>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row>
    <row r="520">
      <c r="A520" s="75"/>
      <c r="B520" s="75"/>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row>
    <row r="521">
      <c r="A521" s="75"/>
      <c r="B521" s="75"/>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row>
    <row r="522">
      <c r="A522" s="75"/>
      <c r="B522" s="75"/>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row>
    <row r="523">
      <c r="A523" s="75"/>
      <c r="B523" s="75"/>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row>
    <row r="524">
      <c r="A524" s="75"/>
      <c r="B524" s="75"/>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row>
    <row r="525">
      <c r="A525" s="75"/>
      <c r="B525" s="75"/>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row>
    <row r="526">
      <c r="A526" s="75"/>
      <c r="B526" s="75"/>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row>
    <row r="527">
      <c r="A527" s="75"/>
      <c r="B527" s="75"/>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row>
    <row r="528">
      <c r="A528" s="75"/>
      <c r="B528" s="75"/>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row>
    <row r="529">
      <c r="A529" s="75"/>
      <c r="B529" s="75"/>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row>
    <row r="530">
      <c r="A530" s="75"/>
      <c r="B530" s="75"/>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row>
    <row r="531">
      <c r="A531" s="75"/>
      <c r="B531" s="75"/>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row>
    <row r="532">
      <c r="A532" s="75"/>
      <c r="B532" s="75"/>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row>
    <row r="533">
      <c r="A533" s="75"/>
      <c r="B533" s="75"/>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row>
    <row r="534">
      <c r="A534" s="75"/>
      <c r="B534" s="75"/>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row>
    <row r="535">
      <c r="A535" s="75"/>
      <c r="B535" s="75"/>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row>
    <row r="536">
      <c r="A536" s="75"/>
      <c r="B536" s="75"/>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row>
    <row r="537">
      <c r="A537" s="75"/>
      <c r="B537" s="75"/>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row>
    <row r="538">
      <c r="A538" s="75"/>
      <c r="B538" s="75"/>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row>
    <row r="539">
      <c r="A539" s="75"/>
      <c r="B539" s="75"/>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row>
    <row r="540">
      <c r="A540" s="75"/>
      <c r="B540" s="75"/>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row>
    <row r="541">
      <c r="A541" s="75"/>
      <c r="B541" s="75"/>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row>
    <row r="542">
      <c r="A542" s="75"/>
      <c r="B542" s="75"/>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row>
    <row r="543">
      <c r="A543" s="75"/>
      <c r="B543" s="75"/>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row>
    <row r="544">
      <c r="A544" s="75"/>
      <c r="B544" s="75"/>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row>
    <row r="545">
      <c r="A545" s="75"/>
      <c r="B545" s="75"/>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row>
    <row r="546">
      <c r="A546" s="75"/>
      <c r="B546" s="75"/>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row>
    <row r="547">
      <c r="A547" s="75"/>
      <c r="B547" s="75"/>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row>
    <row r="548">
      <c r="A548" s="75"/>
      <c r="B548" s="75"/>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row>
    <row r="549">
      <c r="A549" s="75"/>
      <c r="B549" s="75"/>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row>
    <row r="550">
      <c r="A550" s="75"/>
      <c r="B550" s="75"/>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row>
    <row r="551">
      <c r="A551" s="75"/>
      <c r="B551" s="75"/>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row>
    <row r="552">
      <c r="A552" s="75"/>
      <c r="B552" s="75"/>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row>
    <row r="553">
      <c r="A553" s="75"/>
      <c r="B553" s="75"/>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row>
    <row r="554">
      <c r="A554" s="75"/>
      <c r="B554" s="75"/>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row>
    <row r="555">
      <c r="A555" s="75"/>
      <c r="B555" s="75"/>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row>
    <row r="556">
      <c r="A556" s="75"/>
      <c r="B556" s="75"/>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row>
    <row r="557">
      <c r="A557" s="75"/>
      <c r="B557" s="75"/>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row>
    <row r="558">
      <c r="A558" s="75"/>
      <c r="B558" s="75"/>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row>
    <row r="559">
      <c r="A559" s="75"/>
      <c r="B559" s="75"/>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row>
    <row r="560">
      <c r="A560" s="75"/>
      <c r="B560" s="75"/>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row>
    <row r="561">
      <c r="A561" s="75"/>
      <c r="B561" s="75"/>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row>
    <row r="562">
      <c r="A562" s="75"/>
      <c r="B562" s="75"/>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row>
    <row r="563">
      <c r="A563" s="75"/>
      <c r="B563" s="75"/>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row>
    <row r="564">
      <c r="A564" s="75"/>
      <c r="B564" s="75"/>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row>
    <row r="565">
      <c r="A565" s="75"/>
      <c r="B565" s="75"/>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row>
    <row r="566">
      <c r="A566" s="75"/>
      <c r="B566" s="75"/>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row>
    <row r="567">
      <c r="A567" s="75"/>
      <c r="B567" s="75"/>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row>
    <row r="568">
      <c r="A568" s="75"/>
      <c r="B568" s="75"/>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row>
    <row r="569">
      <c r="A569" s="75"/>
      <c r="B569" s="75"/>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row>
    <row r="570">
      <c r="A570" s="75"/>
      <c r="B570" s="75"/>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row>
    <row r="571">
      <c r="A571" s="75"/>
      <c r="B571" s="75"/>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row>
    <row r="572">
      <c r="A572" s="75"/>
      <c r="B572" s="75"/>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row>
    <row r="573">
      <c r="A573" s="75"/>
      <c r="B573" s="75"/>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row>
    <row r="574">
      <c r="A574" s="75"/>
      <c r="B574" s="75"/>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row>
    <row r="575">
      <c r="A575" s="75"/>
      <c r="B575" s="75"/>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row>
    <row r="576">
      <c r="A576" s="75"/>
      <c r="B576" s="75"/>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row>
    <row r="577">
      <c r="A577" s="75"/>
      <c r="B577" s="75"/>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row>
    <row r="578">
      <c r="A578" s="75"/>
      <c r="B578" s="75"/>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row>
    <row r="579">
      <c r="A579" s="75"/>
      <c r="B579" s="75"/>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row>
    <row r="580">
      <c r="A580" s="75"/>
      <c r="B580" s="75"/>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row>
    <row r="581">
      <c r="A581" s="75"/>
      <c r="B581" s="75"/>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row>
    <row r="582">
      <c r="A582" s="75"/>
      <c r="B582" s="75"/>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row>
    <row r="583">
      <c r="A583" s="75"/>
      <c r="B583" s="75"/>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row>
    <row r="584">
      <c r="A584" s="75"/>
      <c r="B584" s="75"/>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row>
    <row r="585">
      <c r="A585" s="75"/>
      <c r="B585" s="75"/>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row>
    <row r="586">
      <c r="A586" s="75"/>
      <c r="B586" s="75"/>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row>
    <row r="587">
      <c r="A587" s="75"/>
      <c r="B587" s="75"/>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row>
    <row r="588">
      <c r="A588" s="75"/>
      <c r="B588" s="75"/>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row>
    <row r="589">
      <c r="A589" s="75"/>
      <c r="B589" s="75"/>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row>
    <row r="590">
      <c r="A590" s="75"/>
      <c r="B590" s="75"/>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row>
    <row r="591">
      <c r="A591" s="75"/>
      <c r="B591" s="75"/>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row>
    <row r="592">
      <c r="A592" s="75"/>
      <c r="B592" s="75"/>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row>
    <row r="593">
      <c r="A593" s="75"/>
      <c r="B593" s="75"/>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row>
    <row r="594">
      <c r="A594" s="75"/>
      <c r="B594" s="75"/>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row>
    <row r="595">
      <c r="A595" s="75"/>
      <c r="B595" s="75"/>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row>
    <row r="596">
      <c r="A596" s="75"/>
      <c r="B596" s="75"/>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row>
    <row r="597">
      <c r="A597" s="75"/>
      <c r="B597" s="75"/>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row>
    <row r="598">
      <c r="A598" s="75"/>
      <c r="B598" s="75"/>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row>
    <row r="599">
      <c r="A599" s="75"/>
      <c r="B599" s="75"/>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row>
    <row r="600">
      <c r="A600" s="75"/>
      <c r="B600" s="75"/>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row>
    <row r="601">
      <c r="A601" s="75"/>
      <c r="B601" s="75"/>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row>
    <row r="602">
      <c r="A602" s="75"/>
      <c r="B602" s="75"/>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row>
    <row r="603">
      <c r="A603" s="75"/>
      <c r="B603" s="75"/>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row>
    <row r="604">
      <c r="A604" s="75"/>
      <c r="B604" s="75"/>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row>
    <row r="605">
      <c r="A605" s="75"/>
      <c r="B605" s="75"/>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row>
    <row r="606">
      <c r="A606" s="75"/>
      <c r="B606" s="75"/>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row>
    <row r="607">
      <c r="A607" s="75"/>
      <c r="B607" s="75"/>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row>
    <row r="608">
      <c r="A608" s="75"/>
      <c r="B608" s="75"/>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row>
    <row r="609">
      <c r="A609" s="75"/>
      <c r="B609" s="75"/>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row>
    <row r="610">
      <c r="A610" s="75"/>
      <c r="B610" s="75"/>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row>
    <row r="611">
      <c r="A611" s="75"/>
      <c r="B611" s="75"/>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row>
    <row r="612">
      <c r="A612" s="75"/>
      <c r="B612" s="75"/>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row>
    <row r="613">
      <c r="A613" s="75"/>
      <c r="B613" s="75"/>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row>
    <row r="614">
      <c r="A614" s="75"/>
      <c r="B614" s="75"/>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row>
    <row r="615">
      <c r="A615" s="75"/>
      <c r="B615" s="75"/>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row>
    <row r="616">
      <c r="A616" s="75"/>
      <c r="B616" s="75"/>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row>
    <row r="617">
      <c r="A617" s="75"/>
      <c r="B617" s="75"/>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row>
    <row r="618">
      <c r="A618" s="75"/>
      <c r="B618" s="75"/>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row>
    <row r="619">
      <c r="A619" s="75"/>
      <c r="B619" s="75"/>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row>
    <row r="620">
      <c r="A620" s="75"/>
      <c r="B620" s="75"/>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row>
    <row r="621">
      <c r="A621" s="75"/>
      <c r="B621" s="75"/>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row>
    <row r="622">
      <c r="A622" s="75"/>
      <c r="B622" s="75"/>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row>
    <row r="623">
      <c r="A623" s="75"/>
      <c r="B623" s="75"/>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row>
    <row r="624">
      <c r="A624" s="75"/>
      <c r="B624" s="75"/>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row>
    <row r="625">
      <c r="A625" s="75"/>
      <c r="B625" s="75"/>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row>
    <row r="626">
      <c r="A626" s="75"/>
      <c r="B626" s="75"/>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row>
    <row r="627">
      <c r="A627" s="75"/>
      <c r="B627" s="75"/>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row>
    <row r="628">
      <c r="A628" s="75"/>
      <c r="B628" s="75"/>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row>
    <row r="629">
      <c r="A629" s="75"/>
      <c r="B629" s="75"/>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row>
    <row r="630">
      <c r="A630" s="75"/>
      <c r="B630" s="75"/>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row>
    <row r="631">
      <c r="A631" s="75"/>
      <c r="B631" s="75"/>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row>
    <row r="632">
      <c r="A632" s="75"/>
      <c r="B632" s="75"/>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row>
    <row r="633">
      <c r="A633" s="75"/>
      <c r="B633" s="75"/>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row>
    <row r="634">
      <c r="A634" s="75"/>
      <c r="B634" s="75"/>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row>
    <row r="635">
      <c r="A635" s="75"/>
      <c r="B635" s="75"/>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row>
    <row r="636">
      <c r="A636" s="75"/>
      <c r="B636" s="75"/>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row>
    <row r="637">
      <c r="A637" s="75"/>
      <c r="B637" s="75"/>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row>
    <row r="638">
      <c r="A638" s="75"/>
      <c r="B638" s="75"/>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row>
    <row r="639">
      <c r="A639" s="75"/>
      <c r="B639" s="75"/>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row>
    <row r="640">
      <c r="A640" s="75"/>
      <c r="B640" s="75"/>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row>
    <row r="641">
      <c r="A641" s="75"/>
      <c r="B641" s="75"/>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row>
    <row r="642">
      <c r="A642" s="75"/>
      <c r="B642" s="75"/>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row>
    <row r="643">
      <c r="A643" s="75"/>
      <c r="B643" s="75"/>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row>
    <row r="644">
      <c r="A644" s="75"/>
      <c r="B644" s="75"/>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row>
    <row r="645">
      <c r="A645" s="75"/>
      <c r="B645" s="75"/>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row>
    <row r="646">
      <c r="A646" s="75"/>
      <c r="B646" s="75"/>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row>
    <row r="647">
      <c r="A647" s="75"/>
      <c r="B647" s="75"/>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row>
    <row r="648">
      <c r="A648" s="75"/>
      <c r="B648" s="75"/>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row>
    <row r="649">
      <c r="A649" s="75"/>
      <c r="B649" s="75"/>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row>
    <row r="650">
      <c r="A650" s="75"/>
      <c r="B650" s="75"/>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row>
    <row r="651">
      <c r="A651" s="75"/>
      <c r="B651" s="75"/>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row>
    <row r="652">
      <c r="A652" s="75"/>
      <c r="B652" s="75"/>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row>
    <row r="653">
      <c r="A653" s="75"/>
      <c r="B653" s="75"/>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row>
    <row r="654">
      <c r="A654" s="75"/>
      <c r="B654" s="75"/>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row>
    <row r="655">
      <c r="A655" s="75"/>
      <c r="B655" s="75"/>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row>
    <row r="656">
      <c r="A656" s="75"/>
      <c r="B656" s="75"/>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row>
    <row r="657">
      <c r="A657" s="75"/>
      <c r="B657" s="75"/>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row>
    <row r="658">
      <c r="A658" s="75"/>
      <c r="B658" s="75"/>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row>
    <row r="659">
      <c r="A659" s="75"/>
      <c r="B659" s="75"/>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row>
    <row r="660">
      <c r="A660" s="75"/>
      <c r="B660" s="75"/>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row>
    <row r="661">
      <c r="A661" s="75"/>
      <c r="B661" s="75"/>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row>
    <row r="662">
      <c r="A662" s="75"/>
      <c r="B662" s="75"/>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row>
    <row r="663">
      <c r="A663" s="75"/>
      <c r="B663" s="75"/>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row>
    <row r="664">
      <c r="A664" s="75"/>
      <c r="B664" s="75"/>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row>
    <row r="665">
      <c r="A665" s="75"/>
      <c r="B665" s="75"/>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row>
    <row r="666">
      <c r="A666" s="75"/>
      <c r="B666" s="75"/>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row>
    <row r="667">
      <c r="A667" s="75"/>
      <c r="B667" s="75"/>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row>
    <row r="668">
      <c r="A668" s="75"/>
      <c r="B668" s="75"/>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row>
    <row r="669">
      <c r="A669" s="75"/>
      <c r="B669" s="75"/>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row>
    <row r="670">
      <c r="A670" s="75"/>
      <c r="B670" s="75"/>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row>
    <row r="671">
      <c r="A671" s="75"/>
      <c r="B671" s="75"/>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row>
    <row r="672">
      <c r="A672" s="75"/>
      <c r="B672" s="75"/>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row>
    <row r="673">
      <c r="A673" s="75"/>
      <c r="B673" s="75"/>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row>
    <row r="674">
      <c r="A674" s="75"/>
      <c r="B674" s="75"/>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row>
    <row r="675">
      <c r="A675" s="75"/>
      <c r="B675" s="75"/>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row>
    <row r="676">
      <c r="A676" s="75"/>
      <c r="B676" s="75"/>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row>
    <row r="677">
      <c r="A677" s="75"/>
      <c r="B677" s="75"/>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row>
    <row r="678">
      <c r="A678" s="75"/>
      <c r="B678" s="75"/>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row>
    <row r="679">
      <c r="A679" s="75"/>
      <c r="B679" s="75"/>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row>
    <row r="680">
      <c r="A680" s="75"/>
      <c r="B680" s="75"/>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row>
    <row r="681">
      <c r="A681" s="75"/>
      <c r="B681" s="75"/>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row>
    <row r="682">
      <c r="A682" s="75"/>
      <c r="B682" s="75"/>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row>
    <row r="683">
      <c r="A683" s="75"/>
      <c r="B683" s="75"/>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row>
    <row r="684">
      <c r="A684" s="75"/>
      <c r="B684" s="75"/>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row>
    <row r="685">
      <c r="A685" s="75"/>
      <c r="B685" s="75"/>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row>
    <row r="686">
      <c r="A686" s="75"/>
      <c r="B686" s="75"/>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row>
    <row r="687">
      <c r="A687" s="75"/>
      <c r="B687" s="75"/>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row>
    <row r="688">
      <c r="A688" s="75"/>
      <c r="B688" s="75"/>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row>
    <row r="689">
      <c r="A689" s="75"/>
      <c r="B689" s="75"/>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row>
    <row r="690">
      <c r="A690" s="75"/>
      <c r="B690" s="75"/>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row>
    <row r="691">
      <c r="A691" s="75"/>
      <c r="B691" s="75"/>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row>
    <row r="692">
      <c r="A692" s="75"/>
      <c r="B692" s="75"/>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row>
    <row r="693">
      <c r="A693" s="75"/>
      <c r="B693" s="75"/>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row>
    <row r="694">
      <c r="A694" s="75"/>
      <c r="B694" s="75"/>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row>
    <row r="695">
      <c r="A695" s="75"/>
      <c r="B695" s="75"/>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row>
    <row r="696">
      <c r="A696" s="75"/>
      <c r="B696" s="75"/>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row>
    <row r="697">
      <c r="A697" s="75"/>
      <c r="B697" s="75"/>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row>
    <row r="698">
      <c r="A698" s="75"/>
      <c r="B698" s="75"/>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row>
    <row r="699">
      <c r="A699" s="75"/>
      <c r="B699" s="75"/>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row>
    <row r="700">
      <c r="A700" s="75"/>
      <c r="B700" s="75"/>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row>
    <row r="701">
      <c r="A701" s="75"/>
      <c r="B701" s="75"/>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row>
    <row r="702">
      <c r="A702" s="75"/>
      <c r="B702" s="75"/>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row>
    <row r="703">
      <c r="A703" s="75"/>
      <c r="B703" s="75"/>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row>
    <row r="704">
      <c r="A704" s="75"/>
      <c r="B704" s="75"/>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row>
    <row r="705">
      <c r="A705" s="75"/>
      <c r="B705" s="75"/>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row>
    <row r="706">
      <c r="A706" s="75"/>
      <c r="B706" s="75"/>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row>
    <row r="707">
      <c r="A707" s="75"/>
      <c r="B707" s="75"/>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row>
    <row r="708">
      <c r="A708" s="75"/>
      <c r="B708" s="75"/>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row>
    <row r="709">
      <c r="A709" s="75"/>
      <c r="B709" s="75"/>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row>
    <row r="710">
      <c r="A710" s="75"/>
      <c r="B710" s="75"/>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row>
    <row r="711">
      <c r="A711" s="75"/>
      <c r="B711" s="75"/>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row>
    <row r="712">
      <c r="A712" s="75"/>
      <c r="B712" s="75"/>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row>
    <row r="713">
      <c r="A713" s="75"/>
      <c r="B713" s="75"/>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row>
    <row r="714">
      <c r="A714" s="75"/>
      <c r="B714" s="75"/>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row>
    <row r="715">
      <c r="A715" s="75"/>
      <c r="B715" s="75"/>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row>
    <row r="716">
      <c r="A716" s="75"/>
      <c r="B716" s="75"/>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row>
    <row r="717">
      <c r="A717" s="75"/>
      <c r="B717" s="75"/>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row>
    <row r="718">
      <c r="A718" s="75"/>
      <c r="B718" s="75"/>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row>
    <row r="719">
      <c r="A719" s="75"/>
      <c r="B719" s="75"/>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row>
    <row r="720">
      <c r="A720" s="75"/>
      <c r="B720" s="75"/>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row>
    <row r="721">
      <c r="A721" s="75"/>
      <c r="B721" s="75"/>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row>
    <row r="722">
      <c r="A722" s="75"/>
      <c r="B722" s="75"/>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row>
    <row r="723">
      <c r="A723" s="75"/>
      <c r="B723" s="75"/>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row>
    <row r="724">
      <c r="A724" s="75"/>
      <c r="B724" s="75"/>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row>
    <row r="725">
      <c r="A725" s="75"/>
      <c r="B725" s="75"/>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row>
    <row r="726">
      <c r="A726" s="75"/>
      <c r="B726" s="75"/>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row>
    <row r="727">
      <c r="A727" s="75"/>
      <c r="B727" s="75"/>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row>
    <row r="728">
      <c r="A728" s="75"/>
      <c r="B728" s="75"/>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row>
    <row r="729">
      <c r="A729" s="75"/>
      <c r="B729" s="75"/>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row>
    <row r="730">
      <c r="A730" s="75"/>
      <c r="B730" s="75"/>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row>
    <row r="731">
      <c r="A731" s="75"/>
      <c r="B731" s="75"/>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row>
    <row r="732">
      <c r="A732" s="75"/>
      <c r="B732" s="75"/>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row>
    <row r="733">
      <c r="A733" s="75"/>
      <c r="B733" s="75"/>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row>
    <row r="734">
      <c r="A734" s="75"/>
      <c r="B734" s="75"/>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row>
    <row r="735">
      <c r="A735" s="75"/>
      <c r="B735" s="75"/>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row>
    <row r="736">
      <c r="A736" s="75"/>
      <c r="B736" s="75"/>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row>
    <row r="737">
      <c r="A737" s="75"/>
      <c r="B737" s="75"/>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row>
    <row r="738">
      <c r="A738" s="75"/>
      <c r="B738" s="75"/>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row>
    <row r="739">
      <c r="A739" s="75"/>
      <c r="B739" s="75"/>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row>
    <row r="740">
      <c r="A740" s="75"/>
      <c r="B740" s="75"/>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row>
    <row r="741">
      <c r="A741" s="75"/>
      <c r="B741" s="75"/>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row>
    <row r="742">
      <c r="A742" s="75"/>
      <c r="B742" s="75"/>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row>
    <row r="743">
      <c r="A743" s="75"/>
      <c r="B743" s="75"/>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row>
    <row r="744">
      <c r="A744" s="75"/>
      <c r="B744" s="75"/>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row>
    <row r="745">
      <c r="A745" s="75"/>
      <c r="B745" s="75"/>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row>
    <row r="746">
      <c r="A746" s="75"/>
      <c r="B746" s="75"/>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row>
    <row r="747">
      <c r="A747" s="75"/>
      <c r="B747" s="75"/>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row>
    <row r="748">
      <c r="A748" s="75"/>
      <c r="B748" s="75"/>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row>
    <row r="749">
      <c r="A749" s="75"/>
      <c r="B749" s="75"/>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row>
    <row r="750">
      <c r="A750" s="75"/>
      <c r="B750" s="75"/>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row>
    <row r="751">
      <c r="A751" s="75"/>
      <c r="B751" s="75"/>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row>
    <row r="752">
      <c r="A752" s="75"/>
      <c r="B752" s="75"/>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row>
    <row r="753">
      <c r="A753" s="75"/>
      <c r="B753" s="75"/>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row>
    <row r="754">
      <c r="A754" s="75"/>
      <c r="B754" s="75"/>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row>
    <row r="755">
      <c r="A755" s="75"/>
      <c r="B755" s="75"/>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row>
    <row r="756">
      <c r="A756" s="75"/>
      <c r="B756" s="75"/>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row>
    <row r="757">
      <c r="A757" s="75"/>
      <c r="B757" s="75"/>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row>
    <row r="758">
      <c r="A758" s="75"/>
      <c r="B758" s="75"/>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row>
    <row r="759">
      <c r="A759" s="75"/>
      <c r="B759" s="75"/>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row>
    <row r="760">
      <c r="A760" s="75"/>
      <c r="B760" s="75"/>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row>
    <row r="761">
      <c r="A761" s="75"/>
      <c r="B761" s="75"/>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row>
    <row r="762">
      <c r="A762" s="75"/>
      <c r="B762" s="75"/>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row>
    <row r="763">
      <c r="A763" s="75"/>
      <c r="B763" s="75"/>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row>
    <row r="764">
      <c r="A764" s="75"/>
      <c r="B764" s="75"/>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row>
    <row r="765">
      <c r="A765" s="75"/>
      <c r="B765" s="75"/>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row>
    <row r="766">
      <c r="A766" s="75"/>
      <c r="B766" s="75"/>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row>
    <row r="767">
      <c r="A767" s="75"/>
      <c r="B767" s="75"/>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row>
    <row r="768">
      <c r="A768" s="75"/>
      <c r="B768" s="75"/>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row>
    <row r="769">
      <c r="A769" s="75"/>
      <c r="B769" s="75"/>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row>
    <row r="770">
      <c r="A770" s="75"/>
      <c r="B770" s="75"/>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row>
    <row r="771">
      <c r="A771" s="75"/>
      <c r="B771" s="75"/>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row>
    <row r="772">
      <c r="A772" s="75"/>
      <c r="B772" s="75"/>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row>
    <row r="773">
      <c r="A773" s="75"/>
      <c r="B773" s="75"/>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row>
    <row r="774">
      <c r="A774" s="75"/>
      <c r="B774" s="75"/>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row>
    <row r="775">
      <c r="A775" s="75"/>
      <c r="B775" s="75"/>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row>
    <row r="776">
      <c r="A776" s="75"/>
      <c r="B776" s="75"/>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row>
    <row r="777">
      <c r="A777" s="75"/>
      <c r="B777" s="75"/>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row>
    <row r="778">
      <c r="A778" s="75"/>
      <c r="B778" s="75"/>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row>
    <row r="779">
      <c r="A779" s="75"/>
      <c r="B779" s="75"/>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row>
    <row r="780">
      <c r="A780" s="75"/>
      <c r="B780" s="75"/>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row>
    <row r="781">
      <c r="A781" s="75"/>
      <c r="B781" s="75"/>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row>
    <row r="782">
      <c r="A782" s="75"/>
      <c r="B782" s="75"/>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row>
    <row r="783">
      <c r="A783" s="75"/>
      <c r="B783" s="75"/>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row>
    <row r="784">
      <c r="A784" s="75"/>
      <c r="B784" s="75"/>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row>
    <row r="785">
      <c r="A785" s="75"/>
      <c r="B785" s="75"/>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row>
    <row r="786">
      <c r="A786" s="75"/>
      <c r="B786" s="75"/>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row>
    <row r="787">
      <c r="A787" s="75"/>
      <c r="B787" s="75"/>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row>
    <row r="788">
      <c r="A788" s="75"/>
      <c r="B788" s="75"/>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row>
    <row r="789">
      <c r="A789" s="75"/>
      <c r="B789" s="75"/>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row>
    <row r="790">
      <c r="A790" s="75"/>
      <c r="B790" s="75"/>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row>
    <row r="791">
      <c r="A791" s="75"/>
      <c r="B791" s="75"/>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row>
    <row r="792">
      <c r="A792" s="75"/>
      <c r="B792" s="75"/>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row>
    <row r="793">
      <c r="A793" s="75"/>
      <c r="B793" s="75"/>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row>
    <row r="794">
      <c r="A794" s="75"/>
      <c r="B794" s="75"/>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row>
    <row r="795">
      <c r="A795" s="75"/>
      <c r="B795" s="75"/>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row>
    <row r="796">
      <c r="A796" s="75"/>
      <c r="B796" s="75"/>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row>
    <row r="797">
      <c r="A797" s="75"/>
      <c r="B797" s="75"/>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row>
    <row r="798">
      <c r="A798" s="75"/>
      <c r="B798" s="75"/>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row>
    <row r="799">
      <c r="A799" s="75"/>
      <c r="B799" s="75"/>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row>
    <row r="800">
      <c r="A800" s="75"/>
      <c r="B800" s="75"/>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row>
    <row r="801">
      <c r="A801" s="75"/>
      <c r="B801" s="75"/>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row>
    <row r="802">
      <c r="A802" s="75"/>
      <c r="B802" s="75"/>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row>
    <row r="803">
      <c r="A803" s="75"/>
      <c r="B803" s="75"/>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row>
    <row r="804">
      <c r="A804" s="75"/>
      <c r="B804" s="75"/>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row>
    <row r="805">
      <c r="A805" s="75"/>
      <c r="B805" s="75"/>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row>
    <row r="806">
      <c r="A806" s="75"/>
      <c r="B806" s="75"/>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row>
    <row r="807">
      <c r="A807" s="75"/>
      <c r="B807" s="75"/>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row>
    <row r="808">
      <c r="A808" s="75"/>
      <c r="B808" s="75"/>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row>
    <row r="809">
      <c r="A809" s="75"/>
      <c r="B809" s="75"/>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row>
    <row r="810">
      <c r="A810" s="75"/>
      <c r="B810" s="75"/>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row>
    <row r="811">
      <c r="A811" s="75"/>
      <c r="B811" s="75"/>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row>
    <row r="812">
      <c r="A812" s="75"/>
      <c r="B812" s="75"/>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row>
    <row r="813">
      <c r="A813" s="75"/>
      <c r="B813" s="75"/>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row>
    <row r="814">
      <c r="A814" s="75"/>
      <c r="B814" s="75"/>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row>
    <row r="815">
      <c r="A815" s="75"/>
      <c r="B815" s="75"/>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row>
    <row r="816">
      <c r="A816" s="75"/>
      <c r="B816" s="75"/>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row>
    <row r="817">
      <c r="A817" s="75"/>
      <c r="B817" s="75"/>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row>
    <row r="818">
      <c r="A818" s="75"/>
      <c r="B818" s="75"/>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row>
    <row r="819">
      <c r="A819" s="75"/>
      <c r="B819" s="75"/>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row>
    <row r="820">
      <c r="A820" s="75"/>
      <c r="B820" s="75"/>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row>
    <row r="821">
      <c r="A821" s="75"/>
      <c r="B821" s="75"/>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row>
    <row r="822">
      <c r="A822" s="75"/>
      <c r="B822" s="75"/>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row>
    <row r="823">
      <c r="A823" s="75"/>
      <c r="B823" s="75"/>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row>
    <row r="824">
      <c r="A824" s="75"/>
      <c r="B824" s="75"/>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row>
    <row r="825">
      <c r="A825" s="75"/>
      <c r="B825" s="75"/>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row>
    <row r="826">
      <c r="A826" s="75"/>
      <c r="B826" s="75"/>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row>
    <row r="827">
      <c r="A827" s="75"/>
      <c r="B827" s="75"/>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row>
    <row r="828">
      <c r="A828" s="75"/>
      <c r="B828" s="75"/>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row>
    <row r="829">
      <c r="A829" s="75"/>
      <c r="B829" s="75"/>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row>
    <row r="830">
      <c r="A830" s="75"/>
      <c r="B830" s="75"/>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row>
    <row r="831">
      <c r="A831" s="75"/>
      <c r="B831" s="75"/>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row>
    <row r="832">
      <c r="A832" s="75"/>
      <c r="B832" s="75"/>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row>
    <row r="833">
      <c r="A833" s="75"/>
      <c r="B833" s="75"/>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row>
    <row r="834">
      <c r="A834" s="75"/>
      <c r="B834" s="75"/>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row>
    <row r="835">
      <c r="A835" s="75"/>
      <c r="B835" s="75"/>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row>
    <row r="836">
      <c r="A836" s="75"/>
      <c r="B836" s="75"/>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row>
    <row r="837">
      <c r="A837" s="75"/>
      <c r="B837" s="75"/>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row>
    <row r="838">
      <c r="A838" s="75"/>
      <c r="B838" s="75"/>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row>
    <row r="839">
      <c r="A839" s="75"/>
      <c r="B839" s="75"/>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row>
    <row r="840">
      <c r="A840" s="75"/>
      <c r="B840" s="75"/>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row>
    <row r="841">
      <c r="A841" s="75"/>
      <c r="B841" s="75"/>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row>
    <row r="842">
      <c r="A842" s="75"/>
      <c r="B842" s="75"/>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row>
    <row r="843">
      <c r="A843" s="75"/>
      <c r="B843" s="75"/>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row>
    <row r="844">
      <c r="A844" s="75"/>
      <c r="B844" s="75"/>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row>
    <row r="845">
      <c r="A845" s="75"/>
      <c r="B845" s="75"/>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row>
    <row r="846">
      <c r="A846" s="75"/>
      <c r="B846" s="75"/>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row>
    <row r="847">
      <c r="A847" s="75"/>
      <c r="B847" s="75"/>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row>
    <row r="848">
      <c r="A848" s="75"/>
      <c r="B848" s="75"/>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row>
    <row r="849">
      <c r="A849" s="75"/>
      <c r="B849" s="75"/>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row>
    <row r="850">
      <c r="A850" s="75"/>
      <c r="B850" s="75"/>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row>
    <row r="851">
      <c r="A851" s="75"/>
      <c r="B851" s="75"/>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row>
    <row r="852">
      <c r="A852" s="75"/>
      <c r="B852" s="75"/>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row>
    <row r="853">
      <c r="A853" s="75"/>
      <c r="B853" s="75"/>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row>
    <row r="854">
      <c r="A854" s="75"/>
      <c r="B854" s="75"/>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row>
    <row r="855">
      <c r="A855" s="75"/>
      <c r="B855" s="75"/>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row>
    <row r="856">
      <c r="A856" s="75"/>
      <c r="B856" s="75"/>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row>
    <row r="857">
      <c r="A857" s="75"/>
      <c r="B857" s="75"/>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row>
    <row r="858">
      <c r="A858" s="75"/>
      <c r="B858" s="75"/>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row>
    <row r="859">
      <c r="A859" s="75"/>
      <c r="B859" s="75"/>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row>
    <row r="860">
      <c r="A860" s="75"/>
      <c r="B860" s="75"/>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row>
    <row r="861">
      <c r="A861" s="75"/>
      <c r="B861" s="75"/>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row>
    <row r="862">
      <c r="A862" s="75"/>
      <c r="B862" s="75"/>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row>
    <row r="863">
      <c r="A863" s="75"/>
      <c r="B863" s="75"/>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row>
    <row r="864">
      <c r="A864" s="75"/>
      <c r="B864" s="75"/>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row>
    <row r="865">
      <c r="A865" s="75"/>
      <c r="B865" s="75"/>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row>
    <row r="866">
      <c r="A866" s="75"/>
      <c r="B866" s="75"/>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row>
    <row r="867">
      <c r="A867" s="75"/>
      <c r="B867" s="75"/>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row>
    <row r="868">
      <c r="A868" s="75"/>
      <c r="B868" s="75"/>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row>
    <row r="869">
      <c r="A869" s="75"/>
      <c r="B869" s="75"/>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row>
    <row r="870">
      <c r="A870" s="75"/>
      <c r="B870" s="75"/>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row>
    <row r="871">
      <c r="A871" s="75"/>
      <c r="B871" s="75"/>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row>
    <row r="872">
      <c r="A872" s="75"/>
      <c r="B872" s="75"/>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row>
    <row r="873">
      <c r="A873" s="75"/>
      <c r="B873" s="75"/>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row>
    <row r="874">
      <c r="A874" s="75"/>
      <c r="B874" s="75"/>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row>
    <row r="875">
      <c r="A875" s="75"/>
      <c r="B875" s="75"/>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row>
    <row r="876">
      <c r="A876" s="75"/>
      <c r="B876" s="75"/>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row>
    <row r="877">
      <c r="A877" s="75"/>
      <c r="B877" s="75"/>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row>
    <row r="878">
      <c r="A878" s="75"/>
      <c r="B878" s="75"/>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row>
    <row r="879">
      <c r="A879" s="75"/>
      <c r="B879" s="75"/>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row>
    <row r="880">
      <c r="A880" s="75"/>
      <c r="B880" s="75"/>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row>
    <row r="881">
      <c r="A881" s="75"/>
      <c r="B881" s="75"/>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row>
    <row r="882">
      <c r="A882" s="75"/>
      <c r="B882" s="75"/>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row>
    <row r="883">
      <c r="A883" s="75"/>
      <c r="B883" s="75"/>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row>
    <row r="884">
      <c r="A884" s="75"/>
      <c r="B884" s="75"/>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row>
    <row r="885">
      <c r="A885" s="75"/>
      <c r="B885" s="75"/>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row>
    <row r="886">
      <c r="A886" s="75"/>
      <c r="B886" s="75"/>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row>
    <row r="887">
      <c r="A887" s="75"/>
      <c r="B887" s="75"/>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row>
    <row r="888">
      <c r="A888" s="75"/>
      <c r="B888" s="75"/>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row>
    <row r="889">
      <c r="A889" s="75"/>
      <c r="B889" s="75"/>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row>
    <row r="890">
      <c r="A890" s="75"/>
      <c r="B890" s="75"/>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row>
    <row r="891">
      <c r="A891" s="75"/>
      <c r="B891" s="75"/>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row>
    <row r="892">
      <c r="A892" s="75"/>
      <c r="B892" s="75"/>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row>
    <row r="893">
      <c r="A893" s="75"/>
      <c r="B893" s="75"/>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row>
    <row r="894">
      <c r="A894" s="75"/>
      <c r="B894" s="75"/>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row>
    <row r="895">
      <c r="A895" s="75"/>
      <c r="B895" s="75"/>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row>
    <row r="896">
      <c r="A896" s="75"/>
      <c r="B896" s="75"/>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row>
    <row r="897">
      <c r="A897" s="75"/>
      <c r="B897" s="75"/>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row>
    <row r="898">
      <c r="A898" s="75"/>
      <c r="B898" s="75"/>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row>
    <row r="899">
      <c r="A899" s="75"/>
      <c r="B899" s="75"/>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row>
    <row r="900">
      <c r="A900" s="75"/>
      <c r="B900" s="75"/>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row>
    <row r="901">
      <c r="A901" s="75"/>
      <c r="B901" s="75"/>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row>
    <row r="902">
      <c r="A902" s="75"/>
      <c r="B902" s="75"/>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row>
    <row r="903">
      <c r="A903" s="75"/>
      <c r="B903" s="75"/>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row>
    <row r="904">
      <c r="A904" s="75"/>
      <c r="B904" s="75"/>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row>
    <row r="905">
      <c r="A905" s="75"/>
      <c r="B905" s="75"/>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row>
    <row r="906">
      <c r="A906" s="75"/>
      <c r="B906" s="75"/>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row>
    <row r="907">
      <c r="A907" s="75"/>
      <c r="B907" s="75"/>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row>
    <row r="908">
      <c r="A908" s="75"/>
      <c r="B908" s="75"/>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row>
    <row r="909">
      <c r="A909" s="75"/>
      <c r="B909" s="75"/>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row>
    <row r="910">
      <c r="A910" s="75"/>
      <c r="B910" s="75"/>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row>
    <row r="911">
      <c r="A911" s="75"/>
      <c r="B911" s="75"/>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row>
    <row r="912">
      <c r="A912" s="75"/>
      <c r="B912" s="75"/>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row>
    <row r="913">
      <c r="A913" s="75"/>
      <c r="B913" s="75"/>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row>
    <row r="914">
      <c r="A914" s="75"/>
      <c r="B914" s="75"/>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row>
    <row r="915">
      <c r="A915" s="75"/>
      <c r="B915" s="75"/>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row>
    <row r="916">
      <c r="A916" s="75"/>
      <c r="B916" s="75"/>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row>
    <row r="917">
      <c r="A917" s="75"/>
      <c r="B917" s="75"/>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row>
    <row r="918">
      <c r="A918" s="75"/>
      <c r="B918" s="75"/>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row>
    <row r="919">
      <c r="A919" s="75"/>
      <c r="B919" s="75"/>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row>
    <row r="920">
      <c r="A920" s="75"/>
      <c r="B920" s="75"/>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row>
    <row r="921">
      <c r="A921" s="75"/>
      <c r="B921" s="75"/>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row>
    <row r="922">
      <c r="A922" s="75"/>
      <c r="B922" s="75"/>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row>
    <row r="923">
      <c r="A923" s="75"/>
      <c r="B923" s="75"/>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row>
    <row r="924">
      <c r="A924" s="75"/>
      <c r="B924" s="75"/>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row>
    <row r="925">
      <c r="A925" s="75"/>
      <c r="B925" s="75"/>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row>
    <row r="926">
      <c r="A926" s="75"/>
      <c r="B926" s="75"/>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row>
    <row r="927">
      <c r="A927" s="75"/>
      <c r="B927" s="75"/>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row>
    <row r="928">
      <c r="A928" s="75"/>
      <c r="B928" s="75"/>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row>
    <row r="929">
      <c r="A929" s="75"/>
      <c r="B929" s="75"/>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row>
    <row r="930">
      <c r="A930" s="75"/>
      <c r="B930" s="75"/>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row>
    <row r="931">
      <c r="A931" s="75"/>
      <c r="B931" s="75"/>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row>
    <row r="932">
      <c r="A932" s="75"/>
      <c r="B932" s="75"/>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row>
    <row r="933">
      <c r="A933" s="75"/>
      <c r="B933" s="75"/>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row>
    <row r="934">
      <c r="A934" s="75"/>
      <c r="B934" s="75"/>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row>
    <row r="935">
      <c r="A935" s="75"/>
      <c r="B935" s="75"/>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row>
    <row r="936">
      <c r="A936" s="75"/>
      <c r="B936" s="75"/>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row>
    <row r="937">
      <c r="A937" s="75"/>
      <c r="B937" s="75"/>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row>
    <row r="938">
      <c r="A938" s="75"/>
      <c r="B938" s="75"/>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row>
    <row r="939">
      <c r="A939" s="75"/>
      <c r="B939" s="75"/>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row>
    <row r="940">
      <c r="A940" s="75"/>
      <c r="B940" s="75"/>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row>
    <row r="941">
      <c r="A941" s="75"/>
      <c r="B941" s="75"/>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row>
    <row r="942">
      <c r="A942" s="75"/>
      <c r="B942" s="75"/>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row>
    <row r="943">
      <c r="A943" s="75"/>
      <c r="B943" s="75"/>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row>
    <row r="944">
      <c r="A944" s="75"/>
      <c r="B944" s="75"/>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row>
    <row r="945">
      <c r="A945" s="75"/>
      <c r="B945" s="75"/>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row>
    <row r="946">
      <c r="A946" s="75"/>
      <c r="B946" s="75"/>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row>
    <row r="947">
      <c r="A947" s="75"/>
      <c r="B947" s="75"/>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row>
    <row r="948">
      <c r="A948" s="75"/>
      <c r="B948" s="75"/>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row>
    <row r="949">
      <c r="A949" s="75"/>
      <c r="B949" s="75"/>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row>
    <row r="950">
      <c r="A950" s="75"/>
      <c r="B950" s="75"/>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row>
    <row r="951">
      <c r="A951" s="75"/>
      <c r="B951" s="75"/>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row>
    <row r="952">
      <c r="A952" s="75"/>
      <c r="B952" s="75"/>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row>
    <row r="953">
      <c r="A953" s="75"/>
      <c r="B953" s="75"/>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row>
    <row r="954">
      <c r="A954" s="75"/>
      <c r="B954" s="75"/>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row>
    <row r="955">
      <c r="A955" s="75"/>
      <c r="B955" s="75"/>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row>
    <row r="956">
      <c r="A956" s="75"/>
      <c r="B956" s="75"/>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row>
    <row r="957">
      <c r="A957" s="75"/>
      <c r="B957" s="75"/>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row>
    <row r="958">
      <c r="A958" s="75"/>
      <c r="B958" s="75"/>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row>
    <row r="959">
      <c r="A959" s="75"/>
      <c r="B959" s="75"/>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row>
    <row r="960">
      <c r="A960" s="75"/>
      <c r="B960" s="75"/>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row>
    <row r="961">
      <c r="A961" s="75"/>
      <c r="B961" s="75"/>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row>
    <row r="962">
      <c r="A962" s="75"/>
      <c r="B962" s="75"/>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row>
    <row r="963">
      <c r="A963" s="75"/>
      <c r="B963" s="75"/>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row>
    <row r="964">
      <c r="A964" s="75"/>
      <c r="B964" s="75"/>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row>
    <row r="965">
      <c r="A965" s="75"/>
      <c r="B965" s="75"/>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row>
    <row r="966">
      <c r="A966" s="75"/>
      <c r="B966" s="75"/>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row>
    <row r="967">
      <c r="A967" s="75"/>
      <c r="B967" s="75"/>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row>
    <row r="968">
      <c r="A968" s="75"/>
      <c r="B968" s="75"/>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row>
    <row r="969">
      <c r="A969" s="75"/>
      <c r="B969" s="75"/>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row>
    <row r="970">
      <c r="A970" s="75"/>
      <c r="B970" s="75"/>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row>
    <row r="971">
      <c r="A971" s="75"/>
      <c r="B971" s="75"/>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row>
    <row r="972">
      <c r="A972" s="75"/>
      <c r="B972" s="75"/>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row>
    <row r="973">
      <c r="A973" s="75"/>
      <c r="B973" s="75"/>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row>
    <row r="974">
      <c r="A974" s="75"/>
      <c r="B974" s="75"/>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row>
    <row r="975">
      <c r="A975" s="75"/>
      <c r="B975" s="75"/>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row>
    <row r="976">
      <c r="A976" s="75"/>
      <c r="B976" s="75"/>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row>
    <row r="977">
      <c r="A977" s="75"/>
      <c r="B977" s="75"/>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row>
    <row r="978">
      <c r="A978" s="75"/>
      <c r="B978" s="75"/>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row>
    <row r="979">
      <c r="A979" s="75"/>
      <c r="B979" s="75"/>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row>
    <row r="980">
      <c r="A980" s="75"/>
      <c r="B980" s="75"/>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row>
    <row r="981">
      <c r="A981" s="75"/>
      <c r="B981" s="75"/>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row>
    <row r="982">
      <c r="A982" s="75"/>
      <c r="B982" s="75"/>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row>
    <row r="983">
      <c r="A983" s="75"/>
      <c r="B983" s="75"/>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row>
    <row r="984">
      <c r="A984" s="75"/>
      <c r="B984" s="75"/>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row>
    <row r="985">
      <c r="A985" s="75"/>
      <c r="B985" s="75"/>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row>
    <row r="986">
      <c r="A986" s="75"/>
      <c r="B986" s="75"/>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row>
    <row r="987">
      <c r="A987" s="75"/>
      <c r="B987" s="75"/>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row>
    <row r="988">
      <c r="A988" s="75"/>
      <c r="B988" s="75"/>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row>
    <row r="989">
      <c r="A989" s="75"/>
      <c r="B989" s="75"/>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row>
    <row r="990">
      <c r="A990" s="75"/>
      <c r="B990" s="75"/>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row>
    <row r="991">
      <c r="A991" s="75"/>
      <c r="B991" s="75"/>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row>
    <row r="992">
      <c r="A992" s="75"/>
      <c r="B992" s="75"/>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row>
    <row r="993">
      <c r="A993" s="75"/>
      <c r="B993" s="75"/>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row>
    <row r="994">
      <c r="A994" s="75"/>
      <c r="B994" s="75"/>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row>
    <row r="995">
      <c r="A995" s="75"/>
      <c r="B995" s="75"/>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row>
    <row r="996">
      <c r="A996" s="75"/>
      <c r="B996" s="75"/>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row>
    <row r="997">
      <c r="A997" s="75"/>
      <c r="B997" s="75"/>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row>
    <row r="998">
      <c r="A998" s="75"/>
      <c r="B998" s="75"/>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row>
    <row r="999">
      <c r="A999" s="75"/>
      <c r="B999" s="75"/>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row>
    <row r="1000">
      <c r="A1000" s="75"/>
      <c r="B1000" s="75"/>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row>
    <row r="1001">
      <c r="A1001" s="75"/>
      <c r="B1001" s="75"/>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7"/>
      <c r="AC1001" s="97"/>
      <c r="AD1001" s="97"/>
      <c r="AE1001" s="97"/>
    </row>
    <row r="1002">
      <c r="A1002" s="75"/>
      <c r="B1002" s="75"/>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7"/>
      <c r="AC1002" s="97"/>
      <c r="AD1002" s="97"/>
      <c r="AE1002" s="97"/>
    </row>
  </sheetData>
  <mergeCells count="11">
    <mergeCell ref="X1:Y1"/>
    <mergeCell ref="Z1:AA1"/>
    <mergeCell ref="AB1:AC1"/>
    <mergeCell ref="AD1:AE1"/>
    <mergeCell ref="A1:A2"/>
    <mergeCell ref="B1:B2"/>
    <mergeCell ref="C1:F1"/>
    <mergeCell ref="G1:O1"/>
    <mergeCell ref="P1:S1"/>
    <mergeCell ref="T1:U1"/>
    <mergeCell ref="V1:W1"/>
  </mergeCells>
  <conditionalFormatting sqref="C1:H2 J1:AE2">
    <cfRule type="cellIs" dxfId="0" priority="1" operator="greaterThan">
      <formula>0</formula>
    </cfRule>
  </conditionalFormatting>
  <conditionalFormatting sqref="I2">
    <cfRule type="cellIs" dxfId="0" priority="2" operator="greaterThan">
      <formula>0</formula>
    </cfRule>
  </conditionalFormatting>
  <conditionalFormatting sqref="C1:H2 J1:AE2">
    <cfRule type="cellIs" dxfId="1" priority="3" operator="equal">
      <formula>0</formula>
    </cfRule>
  </conditionalFormatting>
  <conditionalFormatting sqref="C3:AE1002">
    <cfRule type="cellIs" dxfId="0" priority="4" operator="greater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7.38"/>
    <col customWidth="1" min="2" max="2" width="13.38"/>
    <col customWidth="1" min="3" max="3" width="11.88"/>
    <col customWidth="1" min="5" max="5" width="7.63"/>
    <col customWidth="1" min="6" max="6" width="8.38"/>
    <col customWidth="1" min="21" max="21" width="18.0"/>
    <col customWidth="1" min="25" max="25" width="14.25"/>
    <col customWidth="1" min="26" max="26" width="18.88"/>
    <col customWidth="1" min="28" max="29" width="14.25"/>
    <col customWidth="1" min="30" max="30" width="15.13"/>
    <col customWidth="1" min="31" max="31" width="11.88"/>
    <col customWidth="1" min="32" max="32" width="16.13"/>
  </cols>
  <sheetData>
    <row r="1">
      <c r="A1" s="81" t="s">
        <v>0</v>
      </c>
      <c r="B1" s="81" t="s">
        <v>95</v>
      </c>
      <c r="C1" s="82" t="s">
        <v>2</v>
      </c>
      <c r="D1" s="3"/>
      <c r="E1" s="3"/>
      <c r="F1" s="4"/>
      <c r="G1" s="83" t="s">
        <v>3</v>
      </c>
      <c r="H1" s="3"/>
      <c r="I1" s="3"/>
      <c r="J1" s="3"/>
      <c r="K1" s="3"/>
      <c r="L1" s="3"/>
      <c r="M1" s="3"/>
      <c r="N1" s="3"/>
      <c r="O1" s="3"/>
      <c r="P1" s="4"/>
      <c r="Q1" s="84" t="s">
        <v>4</v>
      </c>
      <c r="R1" s="3"/>
      <c r="S1" s="3"/>
      <c r="T1" s="3"/>
      <c r="U1" s="4"/>
      <c r="V1" s="84" t="s">
        <v>5</v>
      </c>
      <c r="W1" s="3"/>
      <c r="X1" s="85" t="s">
        <v>36</v>
      </c>
      <c r="Y1" s="4"/>
      <c r="Z1" s="86" t="s">
        <v>6</v>
      </c>
      <c r="AA1" s="4"/>
      <c r="AB1" s="86" t="s">
        <v>7</v>
      </c>
      <c r="AC1" s="4"/>
      <c r="AD1" s="86" t="s">
        <v>8</v>
      </c>
      <c r="AE1" s="4"/>
      <c r="AF1" s="86" t="s">
        <v>9</v>
      </c>
      <c r="AG1" s="4"/>
    </row>
    <row r="2" ht="52.5" customHeight="1">
      <c r="A2" s="52"/>
      <c r="B2" s="52"/>
      <c r="C2" s="81" t="s">
        <v>41</v>
      </c>
      <c r="D2" s="81" t="s">
        <v>42</v>
      </c>
      <c r="E2" s="81" t="s">
        <v>43</v>
      </c>
      <c r="F2" s="80" t="s">
        <v>13</v>
      </c>
      <c r="G2" s="98" t="s">
        <v>44</v>
      </c>
      <c r="I2" s="99" t="s">
        <v>16</v>
      </c>
      <c r="J2" s="4"/>
      <c r="K2" s="80" t="s">
        <v>17</v>
      </c>
      <c r="L2" s="80" t="s">
        <v>18</v>
      </c>
      <c r="M2" s="80" t="s">
        <v>19</v>
      </c>
      <c r="N2" s="80" t="s">
        <v>20</v>
      </c>
      <c r="O2" s="80" t="s">
        <v>21</v>
      </c>
      <c r="P2" s="80" t="s">
        <v>22</v>
      </c>
      <c r="Q2" s="81" t="s">
        <v>45</v>
      </c>
      <c r="R2" s="81" t="s">
        <v>46</v>
      </c>
      <c r="S2" s="80" t="s">
        <v>24</v>
      </c>
      <c r="T2" s="80" t="s">
        <v>25</v>
      </c>
      <c r="U2" s="80" t="s">
        <v>26</v>
      </c>
      <c r="V2" s="80" t="s">
        <v>28</v>
      </c>
      <c r="W2" s="80" t="s">
        <v>25</v>
      </c>
      <c r="X2" s="80" t="s">
        <v>37</v>
      </c>
      <c r="Y2" s="80" t="s">
        <v>25</v>
      </c>
      <c r="Z2" s="80" t="s">
        <v>30</v>
      </c>
      <c r="AA2" s="80" t="s">
        <v>31</v>
      </c>
      <c r="AB2" s="80" t="s">
        <v>30</v>
      </c>
      <c r="AC2" s="80" t="s">
        <v>31</v>
      </c>
      <c r="AD2" s="80" t="s">
        <v>30</v>
      </c>
      <c r="AE2" s="80" t="s">
        <v>31</v>
      </c>
      <c r="AF2" s="80" t="s">
        <v>30</v>
      </c>
      <c r="AG2" s="80" t="s">
        <v>31</v>
      </c>
    </row>
    <row r="3">
      <c r="A3" s="9"/>
      <c r="B3" s="9"/>
      <c r="C3" s="9"/>
      <c r="D3" s="9"/>
      <c r="E3" s="9"/>
      <c r="F3" s="9"/>
      <c r="G3" s="89" t="s">
        <v>14</v>
      </c>
      <c r="H3" s="89" t="s">
        <v>15</v>
      </c>
      <c r="I3" s="89" t="s">
        <v>14</v>
      </c>
      <c r="J3" s="89" t="s">
        <v>15</v>
      </c>
      <c r="K3" s="9"/>
      <c r="L3" s="9"/>
      <c r="M3" s="9"/>
      <c r="N3" s="9"/>
      <c r="O3" s="9"/>
      <c r="P3" s="9"/>
      <c r="Q3" s="9"/>
      <c r="R3" s="9"/>
      <c r="S3" s="9"/>
      <c r="T3" s="9"/>
      <c r="U3" s="9"/>
      <c r="V3" s="9"/>
      <c r="W3" s="9"/>
      <c r="X3" s="9"/>
      <c r="Y3" s="9"/>
      <c r="Z3" s="9"/>
      <c r="AA3" s="9"/>
      <c r="AB3" s="9"/>
      <c r="AC3" s="9"/>
      <c r="AD3" s="9"/>
      <c r="AE3" s="9"/>
      <c r="AF3" s="9"/>
      <c r="AG3" s="9"/>
    </row>
    <row r="4">
      <c r="A4" s="76" t="s">
        <v>127</v>
      </c>
      <c r="B4" s="76" t="s">
        <v>128</v>
      </c>
      <c r="C4" s="47">
        <f>'BC NGÀY 1'!C108 + sum('BC NGÀY'!C4:C10)</f>
        <v>0</v>
      </c>
      <c r="D4" s="47">
        <f>'BC NGÀY 1'!D108 + sum('BC NGÀY'!D4:D10)</f>
        <v>0</v>
      </c>
      <c r="E4" s="47">
        <f>'BC NGÀY 1'!E108 + sum('BC NGÀY'!E4:E10)</f>
        <v>0</v>
      </c>
      <c r="F4" s="47">
        <f>'BC NGÀY 1'!F108 + sum('BC NGÀY'!F4:F10)</f>
        <v>2</v>
      </c>
      <c r="G4" s="47">
        <f>sum('BC NGÀY'!G4:G10)</f>
        <v>82</v>
      </c>
      <c r="H4" s="47">
        <f>sum('BC NGÀY'!H4:H10)</f>
        <v>41</v>
      </c>
      <c r="I4" s="47">
        <f>sum('BC NGÀY'!I4:I10)</f>
        <v>0</v>
      </c>
      <c r="J4" s="47">
        <f>sum('BC NGÀY'!J4:J10)</f>
        <v>0</v>
      </c>
      <c r="K4" s="47">
        <f>sum('BC NGÀY'!K4:K10)</f>
        <v>900</v>
      </c>
      <c r="L4" s="47">
        <f>sum('BC NGÀY'!L4:L10)</f>
        <v>0</v>
      </c>
      <c r="M4" s="47">
        <f>sum('BC NGÀY'!M4:M10)</f>
        <v>0</v>
      </c>
      <c r="N4" s="47">
        <f>sum('BC NGÀY'!N4:N10)</f>
        <v>0</v>
      </c>
      <c r="O4" s="47">
        <f>sum('BC NGÀY'!O4:O10)</f>
        <v>0</v>
      </c>
      <c r="P4" s="47">
        <f>sum('BC NGÀY'!P4:P10)</f>
        <v>0</v>
      </c>
      <c r="Q4" s="47">
        <f>sum('BC NGÀY'!Q4:Q10)</f>
        <v>0</v>
      </c>
      <c r="R4" s="47">
        <f>sum('BC NGÀY'!R4:R10)</f>
        <v>0</v>
      </c>
      <c r="S4" s="47">
        <f>sum('BC NGÀY'!S4:S10)</f>
        <v>1</v>
      </c>
      <c r="T4" s="47">
        <f>sum('BC NGÀY'!T4:T10)</f>
        <v>675</v>
      </c>
      <c r="U4" s="47">
        <f>sum('BC NGÀY'!U4:U10)</f>
        <v>675</v>
      </c>
      <c r="V4" s="47">
        <f>sum('BC NGÀY'!V4:V10)</f>
        <v>1</v>
      </c>
      <c r="W4" s="47">
        <f>sum('BC NGÀY'!W4:W10)</f>
        <v>37</v>
      </c>
      <c r="X4" s="47">
        <f>sum('BC NGÀY'!X4:X10)</f>
        <v>2</v>
      </c>
      <c r="Y4" s="47">
        <f>sum('BC NGÀY'!Y4:Y10)</f>
        <v>712</v>
      </c>
      <c r="Z4" s="47">
        <f>sum('BC NGÀY'!Z4:Z10)</f>
        <v>123</v>
      </c>
      <c r="AA4" s="47">
        <f>sum('BC NGÀY'!AA4:AA10)</f>
        <v>123</v>
      </c>
      <c r="AB4" s="47">
        <f>sum('BC NGÀY'!AB4:AB10)</f>
        <v>1</v>
      </c>
      <c r="AC4" s="47">
        <f>sum('BC NGÀY'!AC4:AC10)</f>
        <v>1</v>
      </c>
      <c r="AD4" s="47">
        <f>sum('BC NGÀY'!AD4:AD10)</f>
        <v>0</v>
      </c>
      <c r="AE4" s="47">
        <f>sum('BC NGÀY'!AE4:AE10)</f>
        <v>0</v>
      </c>
      <c r="AF4" s="47">
        <f>sum('BC NGÀY'!AF4:AF10)</f>
        <v>0</v>
      </c>
      <c r="AG4" s="47">
        <f>sum('BC NGÀY'!AG4:AG10)</f>
        <v>0</v>
      </c>
    </row>
    <row r="5">
      <c r="A5" s="76" t="s">
        <v>129</v>
      </c>
      <c r="B5" s="76" t="s">
        <v>130</v>
      </c>
      <c r="C5" s="47">
        <f>sum('BC NGÀY'!C11:C18)</f>
        <v>0</v>
      </c>
      <c r="D5" s="47">
        <f>sum('BC NGÀY'!D11:D18)</f>
        <v>0</v>
      </c>
      <c r="E5" s="47">
        <f>sum('BC NGÀY'!E11:E18)</f>
        <v>0</v>
      </c>
      <c r="F5" s="47">
        <f>sum('BC NGÀY'!F11:F18)</f>
        <v>0</v>
      </c>
      <c r="G5" s="47">
        <f>sum('BC NGÀY'!G11:G18)</f>
        <v>146</v>
      </c>
      <c r="H5" s="47">
        <f>sum('BC NGÀY'!H11:H18)</f>
        <v>114</v>
      </c>
      <c r="I5" s="47">
        <f>sum('BC NGÀY'!I11:I18)</f>
        <v>0</v>
      </c>
      <c r="J5" s="47">
        <f>sum('BC NGÀY'!J11:J18)</f>
        <v>0</v>
      </c>
      <c r="K5" s="47">
        <f>sum('BC NGÀY'!K11:K18)</f>
        <v>2099</v>
      </c>
      <c r="L5" s="47">
        <f>sum('BC NGÀY'!L11:L18)</f>
        <v>0</v>
      </c>
      <c r="M5" s="47">
        <f>sum('BC NGÀY'!M11:M18)</f>
        <v>0</v>
      </c>
      <c r="N5" s="47">
        <f>sum('BC NGÀY'!N11:N18)</f>
        <v>0</v>
      </c>
      <c r="O5" s="47">
        <f>sum('BC NGÀY'!O11:O18)</f>
        <v>0</v>
      </c>
      <c r="P5" s="47">
        <f>sum('BC NGÀY'!P11:P18)</f>
        <v>0</v>
      </c>
      <c r="Q5" s="35">
        <v>10.0</v>
      </c>
      <c r="R5" s="47">
        <f>sum('BC NGÀY'!R11:R18)</f>
        <v>0</v>
      </c>
      <c r="S5" s="47">
        <f>sum('BC NGÀY'!S11:S18)</f>
        <v>1</v>
      </c>
      <c r="T5" s="47">
        <f>sum('BC NGÀY'!T11:T18)</f>
        <v>100</v>
      </c>
      <c r="U5" s="47">
        <f>sum('BC NGÀY'!U11:U18)</f>
        <v>100</v>
      </c>
      <c r="V5" s="47">
        <f>sum('BC NGÀY'!V11:V18)</f>
        <v>3</v>
      </c>
      <c r="W5" s="47">
        <f>sum('BC NGÀY'!W11:W18)</f>
        <v>133</v>
      </c>
      <c r="X5" s="47">
        <f>sum('BC NGÀY'!X11:X18)</f>
        <v>4</v>
      </c>
      <c r="Y5" s="47">
        <f>sum('BC NGÀY'!Y11:Y18)</f>
        <v>233</v>
      </c>
      <c r="Z5" s="47">
        <f>sum('BC NGÀY'!Z11:Z18)</f>
        <v>260</v>
      </c>
      <c r="AA5" s="47">
        <f>sum('BC NGÀY'!AA11:AA18)</f>
        <v>260</v>
      </c>
      <c r="AB5" s="47">
        <f>sum('BC NGÀY'!AB11:AB18)</f>
        <v>2</v>
      </c>
      <c r="AC5" s="47">
        <f>sum('BC NGÀY'!AC11:AC18)</f>
        <v>2</v>
      </c>
      <c r="AD5" s="47">
        <f>sum('BC NGÀY'!AD11:AD18)</f>
        <v>0</v>
      </c>
      <c r="AE5" s="47">
        <f>sum('BC NGÀY'!AE11:AE18)</f>
        <v>0</v>
      </c>
      <c r="AF5" s="47">
        <f>sum('BC NGÀY'!AF11:AF18)</f>
        <v>0</v>
      </c>
      <c r="AG5" s="47">
        <f>sum('BC NGÀY'!AG11:AG18)</f>
        <v>0</v>
      </c>
    </row>
    <row r="6">
      <c r="A6" s="95" t="s">
        <v>131</v>
      </c>
      <c r="B6" s="95" t="s">
        <v>132</v>
      </c>
      <c r="C6" s="92">
        <f t="shared" ref="C6:AG6" si="1">sum(C4:C5)</f>
        <v>0</v>
      </c>
      <c r="D6" s="92">
        <f t="shared" si="1"/>
        <v>0</v>
      </c>
      <c r="E6" s="92">
        <f t="shared" si="1"/>
        <v>0</v>
      </c>
      <c r="F6" s="92">
        <f t="shared" si="1"/>
        <v>2</v>
      </c>
      <c r="G6" s="92">
        <f t="shared" si="1"/>
        <v>228</v>
      </c>
      <c r="H6" s="92">
        <f t="shared" si="1"/>
        <v>155</v>
      </c>
      <c r="I6" s="92">
        <f t="shared" si="1"/>
        <v>0</v>
      </c>
      <c r="J6" s="92">
        <f t="shared" si="1"/>
        <v>0</v>
      </c>
      <c r="K6" s="92">
        <f t="shared" si="1"/>
        <v>2999</v>
      </c>
      <c r="L6" s="92">
        <f t="shared" si="1"/>
        <v>0</v>
      </c>
      <c r="M6" s="92">
        <f t="shared" si="1"/>
        <v>0</v>
      </c>
      <c r="N6" s="92">
        <f t="shared" si="1"/>
        <v>0</v>
      </c>
      <c r="O6" s="92">
        <f t="shared" si="1"/>
        <v>0</v>
      </c>
      <c r="P6" s="92">
        <f t="shared" si="1"/>
        <v>0</v>
      </c>
      <c r="Q6" s="92">
        <f t="shared" si="1"/>
        <v>10</v>
      </c>
      <c r="R6" s="92">
        <f t="shared" si="1"/>
        <v>0</v>
      </c>
      <c r="S6" s="92">
        <f t="shared" si="1"/>
        <v>2</v>
      </c>
      <c r="T6" s="92">
        <f t="shared" si="1"/>
        <v>775</v>
      </c>
      <c r="U6" s="92">
        <f t="shared" si="1"/>
        <v>775</v>
      </c>
      <c r="V6" s="92">
        <f t="shared" si="1"/>
        <v>4</v>
      </c>
      <c r="W6" s="92">
        <f t="shared" si="1"/>
        <v>170</v>
      </c>
      <c r="X6" s="92">
        <f t="shared" si="1"/>
        <v>6</v>
      </c>
      <c r="Y6" s="92">
        <f t="shared" si="1"/>
        <v>945</v>
      </c>
      <c r="Z6" s="92">
        <f t="shared" si="1"/>
        <v>383</v>
      </c>
      <c r="AA6" s="92">
        <f t="shared" si="1"/>
        <v>383</v>
      </c>
      <c r="AB6" s="92">
        <f t="shared" si="1"/>
        <v>3</v>
      </c>
      <c r="AC6" s="92">
        <f t="shared" si="1"/>
        <v>3</v>
      </c>
      <c r="AD6" s="92">
        <f t="shared" si="1"/>
        <v>0</v>
      </c>
      <c r="AE6" s="92">
        <f t="shared" si="1"/>
        <v>0</v>
      </c>
      <c r="AF6" s="92">
        <f t="shared" si="1"/>
        <v>0</v>
      </c>
      <c r="AG6" s="92">
        <f t="shared" si="1"/>
        <v>0</v>
      </c>
    </row>
    <row r="7">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row>
    <row r="8">
      <c r="A8" s="100"/>
      <c r="B8" s="100"/>
      <c r="C8" s="100"/>
      <c r="D8" s="100"/>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row>
    <row r="9">
      <c r="A9" s="100"/>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row>
    <row r="10">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row>
    <row r="11">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row>
    <row r="12">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row>
    <row r="13">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row>
    <row r="14">
      <c r="A14" s="100"/>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row>
    <row r="15">
      <c r="A15" s="100"/>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row>
    <row r="16">
      <c r="A16" s="100"/>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row>
    <row r="17">
      <c r="A17" s="100"/>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row>
    <row r="18">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row>
    <row r="2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row>
    <row r="22">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row>
    <row r="23">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row>
    <row r="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row>
    <row r="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row>
    <row r="3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row>
    <row r="32">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c r="AE57" s="100"/>
      <c r="AF57" s="100"/>
      <c r="AG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100"/>
      <c r="AC59" s="100"/>
      <c r="AD59" s="100"/>
      <c r="AE59" s="100"/>
      <c r="AF59" s="100"/>
      <c r="AG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c r="AE61" s="100"/>
      <c r="AF61" s="100"/>
      <c r="AG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c r="AE63" s="100"/>
      <c r="AF63" s="100"/>
      <c r="AG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row>
  </sheetData>
  <mergeCells count="40">
    <mergeCell ref="Q2:Q3"/>
    <mergeCell ref="R2:R3"/>
    <mergeCell ref="S2:S3"/>
    <mergeCell ref="T2:T3"/>
    <mergeCell ref="U2:U3"/>
    <mergeCell ref="V2:V3"/>
    <mergeCell ref="W2:W3"/>
    <mergeCell ref="X2:X3"/>
    <mergeCell ref="A1:A3"/>
    <mergeCell ref="B1:B3"/>
    <mergeCell ref="C1:F1"/>
    <mergeCell ref="G1:P1"/>
    <mergeCell ref="Q1:U1"/>
    <mergeCell ref="V1:W1"/>
    <mergeCell ref="X1:Y1"/>
    <mergeCell ref="Y2:Y3"/>
    <mergeCell ref="AE2:AE3"/>
    <mergeCell ref="AF2:AF3"/>
    <mergeCell ref="Z1:AA1"/>
    <mergeCell ref="AB1:AC1"/>
    <mergeCell ref="AD1:AE1"/>
    <mergeCell ref="AF1:AG1"/>
    <mergeCell ref="Z2:Z3"/>
    <mergeCell ref="AA2:AA3"/>
    <mergeCell ref="AB2:AB3"/>
    <mergeCell ref="AG2:AG3"/>
    <mergeCell ref="C2:C3"/>
    <mergeCell ref="D2:D3"/>
    <mergeCell ref="E2:E3"/>
    <mergeCell ref="F2:F3"/>
    <mergeCell ref="G2:H2"/>
    <mergeCell ref="I2:J2"/>
    <mergeCell ref="K2:K3"/>
    <mergeCell ref="L2:L3"/>
    <mergeCell ref="M2:M3"/>
    <mergeCell ref="N2:N3"/>
    <mergeCell ref="O2:O3"/>
    <mergeCell ref="P2:P3"/>
    <mergeCell ref="AC2:AC3"/>
    <mergeCell ref="AD2:AD3"/>
  </mergeCells>
  <conditionalFormatting sqref="C1:F3 G1:AG4 D6:AG984">
    <cfRule type="cellIs" dxfId="0" priority="1" operator="greaterThan">
      <formula>0</formula>
    </cfRule>
  </conditionalFormatting>
  <conditionalFormatting sqref="C4:AG984">
    <cfRule type="cellIs" dxfId="0" priority="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5.38"/>
    <col customWidth="1" min="2" max="2" width="83.13"/>
    <col customWidth="1" min="3" max="26" width="62.13"/>
  </cols>
  <sheetData>
    <row r="1">
      <c r="A1" s="101" t="s">
        <v>133</v>
      </c>
      <c r="B1" s="102" t="s">
        <v>134</v>
      </c>
      <c r="C1" s="103"/>
      <c r="D1" s="104"/>
      <c r="E1" s="104"/>
      <c r="F1" s="104"/>
      <c r="G1" s="104"/>
      <c r="H1" s="104"/>
      <c r="I1" s="104"/>
      <c r="J1" s="104"/>
      <c r="K1" s="104"/>
      <c r="L1" s="104"/>
      <c r="M1" s="104"/>
      <c r="N1" s="104"/>
      <c r="O1" s="104"/>
      <c r="P1" s="104"/>
      <c r="Q1" s="104"/>
      <c r="R1" s="104"/>
      <c r="S1" s="104"/>
      <c r="T1" s="104"/>
      <c r="U1" s="104"/>
      <c r="V1" s="104"/>
      <c r="W1" s="104"/>
      <c r="X1" s="104"/>
      <c r="Y1" s="104"/>
      <c r="Z1" s="104"/>
    </row>
    <row r="2">
      <c r="A2" s="105"/>
      <c r="B2" s="106" t="s">
        <v>135</v>
      </c>
      <c r="C2" s="107" t="s">
        <v>136</v>
      </c>
      <c r="D2" s="104"/>
      <c r="E2" s="104"/>
      <c r="F2" s="104"/>
      <c r="G2" s="104"/>
      <c r="H2" s="104"/>
      <c r="I2" s="104"/>
      <c r="J2" s="104"/>
      <c r="K2" s="104"/>
      <c r="L2" s="104"/>
      <c r="M2" s="104"/>
      <c r="N2" s="104"/>
      <c r="O2" s="104"/>
      <c r="P2" s="104"/>
      <c r="Q2" s="104"/>
      <c r="R2" s="104"/>
      <c r="S2" s="104"/>
      <c r="T2" s="104"/>
      <c r="U2" s="104"/>
      <c r="V2" s="104"/>
      <c r="W2" s="104"/>
      <c r="X2" s="104"/>
      <c r="Y2" s="104"/>
      <c r="Z2" s="104"/>
    </row>
    <row r="3">
      <c r="A3" s="108" t="s">
        <v>137</v>
      </c>
      <c r="B3" s="109" t="s">
        <v>138</v>
      </c>
      <c r="C3" s="110"/>
      <c r="D3" s="104"/>
      <c r="E3" s="104"/>
      <c r="F3" s="104"/>
      <c r="G3" s="104"/>
      <c r="H3" s="104"/>
      <c r="I3" s="104"/>
      <c r="J3" s="104"/>
      <c r="K3" s="104"/>
      <c r="L3" s="104"/>
      <c r="M3" s="104"/>
      <c r="N3" s="104"/>
      <c r="O3" s="104"/>
      <c r="P3" s="104"/>
      <c r="Q3" s="104"/>
      <c r="R3" s="104"/>
      <c r="S3" s="104"/>
      <c r="T3" s="104"/>
      <c r="U3" s="104"/>
      <c r="V3" s="104"/>
      <c r="W3" s="104"/>
      <c r="X3" s="104"/>
      <c r="Y3" s="104"/>
      <c r="Z3" s="104"/>
    </row>
    <row r="4">
      <c r="A4" s="108" t="s">
        <v>139</v>
      </c>
      <c r="B4" s="109" t="s">
        <v>140</v>
      </c>
      <c r="C4" s="110"/>
      <c r="D4" s="104"/>
      <c r="E4" s="104"/>
      <c r="F4" s="104"/>
      <c r="G4" s="104"/>
      <c r="H4" s="104"/>
      <c r="I4" s="104"/>
      <c r="J4" s="104"/>
      <c r="K4" s="104"/>
      <c r="L4" s="104"/>
      <c r="M4" s="104"/>
      <c r="N4" s="104"/>
      <c r="O4" s="104"/>
      <c r="P4" s="104"/>
      <c r="Q4" s="104"/>
      <c r="R4" s="104"/>
      <c r="S4" s="104"/>
      <c r="T4" s="104"/>
      <c r="U4" s="104"/>
      <c r="V4" s="104"/>
      <c r="W4" s="104"/>
      <c r="X4" s="104"/>
      <c r="Y4" s="104"/>
      <c r="Z4" s="104"/>
    </row>
    <row r="5">
      <c r="A5" s="108" t="s">
        <v>141</v>
      </c>
      <c r="B5" s="109" t="s">
        <v>142</v>
      </c>
      <c r="C5" s="111"/>
      <c r="D5" s="104"/>
      <c r="E5" s="104"/>
      <c r="F5" s="104"/>
      <c r="G5" s="104"/>
      <c r="H5" s="104"/>
      <c r="I5" s="104"/>
      <c r="J5" s="104"/>
      <c r="K5" s="104"/>
      <c r="L5" s="104"/>
      <c r="M5" s="104"/>
      <c r="N5" s="104"/>
      <c r="O5" s="104"/>
      <c r="P5" s="104"/>
      <c r="Q5" s="104"/>
      <c r="R5" s="104"/>
      <c r="S5" s="104"/>
      <c r="T5" s="104"/>
      <c r="U5" s="104"/>
      <c r="V5" s="104"/>
      <c r="W5" s="104"/>
      <c r="X5" s="104"/>
      <c r="Y5" s="104"/>
      <c r="Z5" s="104"/>
    </row>
    <row r="6">
      <c r="A6" s="112" t="s">
        <v>143</v>
      </c>
      <c r="B6" s="109" t="s">
        <v>144</v>
      </c>
      <c r="C6" s="110"/>
      <c r="D6" s="104"/>
      <c r="E6" s="104"/>
      <c r="F6" s="104"/>
      <c r="G6" s="104"/>
      <c r="H6" s="104"/>
      <c r="I6" s="104"/>
      <c r="J6" s="104"/>
      <c r="K6" s="104"/>
      <c r="L6" s="104"/>
      <c r="M6" s="104"/>
      <c r="N6" s="104"/>
      <c r="O6" s="104"/>
      <c r="P6" s="104"/>
      <c r="Q6" s="104"/>
      <c r="R6" s="104"/>
      <c r="S6" s="104"/>
      <c r="T6" s="104"/>
      <c r="U6" s="104"/>
      <c r="V6" s="104"/>
      <c r="W6" s="104"/>
      <c r="X6" s="104"/>
      <c r="Y6" s="104"/>
      <c r="Z6" s="104"/>
    </row>
    <row r="7">
      <c r="A7" s="108" t="s">
        <v>145</v>
      </c>
      <c r="B7" s="113"/>
      <c r="C7" s="111" t="s">
        <v>146</v>
      </c>
      <c r="D7" s="104"/>
      <c r="E7" s="104"/>
      <c r="F7" s="104"/>
      <c r="G7" s="104"/>
      <c r="H7" s="104"/>
      <c r="I7" s="104"/>
      <c r="J7" s="104"/>
      <c r="K7" s="104"/>
      <c r="L7" s="104"/>
      <c r="M7" s="104"/>
      <c r="N7" s="104"/>
      <c r="O7" s="104"/>
      <c r="P7" s="104"/>
      <c r="Q7" s="104"/>
      <c r="R7" s="104"/>
      <c r="S7" s="104"/>
      <c r="T7" s="104"/>
      <c r="U7" s="104"/>
      <c r="V7" s="104"/>
      <c r="W7" s="104"/>
      <c r="X7" s="104"/>
      <c r="Y7" s="104"/>
      <c r="Z7" s="104"/>
    </row>
    <row r="8">
      <c r="A8" s="112" t="s">
        <v>147</v>
      </c>
      <c r="B8" s="109" t="s">
        <v>148</v>
      </c>
      <c r="C8" s="110"/>
      <c r="D8" s="104"/>
      <c r="E8" s="104"/>
      <c r="F8" s="104"/>
      <c r="G8" s="104"/>
      <c r="H8" s="104"/>
      <c r="I8" s="104"/>
      <c r="J8" s="104"/>
      <c r="K8" s="104"/>
      <c r="L8" s="104"/>
      <c r="M8" s="104"/>
      <c r="N8" s="104"/>
      <c r="O8" s="104"/>
      <c r="P8" s="104"/>
      <c r="Q8" s="104"/>
      <c r="R8" s="104"/>
      <c r="S8" s="104"/>
      <c r="T8" s="104"/>
      <c r="U8" s="104"/>
      <c r="V8" s="104"/>
      <c r="W8" s="104"/>
      <c r="X8" s="104"/>
      <c r="Y8" s="104"/>
      <c r="Z8" s="104"/>
    </row>
    <row r="9">
      <c r="A9" s="114" t="s">
        <v>149</v>
      </c>
      <c r="B9" s="109" t="s">
        <v>150</v>
      </c>
      <c r="C9" s="110"/>
      <c r="D9" s="104"/>
      <c r="E9" s="104"/>
      <c r="F9" s="104"/>
      <c r="G9" s="104"/>
      <c r="H9" s="104"/>
      <c r="I9" s="104"/>
      <c r="J9" s="104"/>
      <c r="K9" s="104"/>
      <c r="L9" s="104"/>
      <c r="M9" s="104"/>
      <c r="N9" s="104"/>
      <c r="O9" s="104"/>
      <c r="P9" s="104"/>
      <c r="Q9" s="104"/>
      <c r="R9" s="104"/>
      <c r="S9" s="104"/>
      <c r="T9" s="104"/>
      <c r="U9" s="104"/>
      <c r="V9" s="104"/>
      <c r="W9" s="104"/>
      <c r="X9" s="104"/>
      <c r="Y9" s="104"/>
      <c r="Z9" s="104"/>
    </row>
    <row r="10">
      <c r="A10" s="115"/>
      <c r="B10" s="113"/>
      <c r="C10" s="111" t="s">
        <v>151</v>
      </c>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14" t="s">
        <v>152</v>
      </c>
      <c r="B11" s="113"/>
      <c r="C11" s="116" t="s">
        <v>153</v>
      </c>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17" t="s">
        <v>154</v>
      </c>
      <c r="B12" s="109" t="s">
        <v>155</v>
      </c>
      <c r="C12" s="110"/>
      <c r="D12" s="118">
        <v>46022.0</v>
      </c>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14" t="s">
        <v>156</v>
      </c>
      <c r="B13" s="113"/>
      <c r="C13" s="111" t="s">
        <v>157</v>
      </c>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14" t="s">
        <v>158</v>
      </c>
      <c r="B14" s="113"/>
      <c r="C14" s="111" t="s">
        <v>159</v>
      </c>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14" t="s">
        <v>160</v>
      </c>
      <c r="B15" s="109" t="s">
        <v>161</v>
      </c>
      <c r="C15" s="110"/>
      <c r="D15" s="118"/>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8" t="s">
        <v>162</v>
      </c>
      <c r="B16" s="109" t="s">
        <v>163</v>
      </c>
      <c r="C16" s="110"/>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8" t="s">
        <v>164</v>
      </c>
      <c r="B17" s="109" t="s">
        <v>165</v>
      </c>
      <c r="C17" s="110"/>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8" t="s">
        <v>166</v>
      </c>
      <c r="B18" s="109" t="s">
        <v>167</v>
      </c>
      <c r="C18" s="110"/>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8" t="s">
        <v>168</v>
      </c>
      <c r="B19" s="109"/>
      <c r="C19" s="111" t="s">
        <v>169</v>
      </c>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8" t="s">
        <v>170</v>
      </c>
      <c r="B20" s="109" t="s">
        <v>171</v>
      </c>
      <c r="C20" s="110"/>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8" t="s">
        <v>172</v>
      </c>
      <c r="B21" s="109" t="s">
        <v>173</v>
      </c>
      <c r="C21" s="110"/>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8" t="s">
        <v>174</v>
      </c>
      <c r="B22" s="109" t="s">
        <v>175</v>
      </c>
      <c r="C22" s="110"/>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19"/>
      <c r="B23" s="109"/>
      <c r="C23" s="110"/>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19"/>
      <c r="B24" s="113"/>
      <c r="C24" s="110"/>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19"/>
      <c r="B25" s="113"/>
      <c r="C25" s="110"/>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19"/>
      <c r="B26" s="113"/>
      <c r="C26" s="110"/>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19"/>
      <c r="B27" s="113"/>
      <c r="C27" s="110"/>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19"/>
      <c r="B28" s="113"/>
      <c r="C28" s="110"/>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19"/>
      <c r="B29" s="113"/>
      <c r="C29" s="110"/>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19"/>
      <c r="B30" s="113"/>
      <c r="C30" s="110"/>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19"/>
      <c r="B31" s="113"/>
      <c r="C31" s="110"/>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19"/>
      <c r="B32" s="113"/>
      <c r="C32" s="110"/>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19"/>
      <c r="B33" s="113"/>
      <c r="C33" s="110"/>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19"/>
      <c r="B34" s="113"/>
      <c r="C34" s="110"/>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20"/>
      <c r="B35" s="113"/>
      <c r="C35" s="110"/>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21" t="s">
        <v>176</v>
      </c>
      <c r="B36" s="122">
        <f t="shared" ref="B36:C36" si="1">COUNTA(B3:B35)</f>
        <v>14</v>
      </c>
      <c r="C36" s="123">
        <f t="shared" si="1"/>
        <v>6</v>
      </c>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2">
    <mergeCell ref="A1:A2"/>
    <mergeCell ref="B1:C1"/>
  </mergeCells>
  <hyperlinks>
    <hyperlink r:id="rId1" ref="A3"/>
    <hyperlink r:id="rId2" ref="A4"/>
    <hyperlink r:id="rId3" ref="A5"/>
    <hyperlink r:id="rId4" ref="A6"/>
    <hyperlink r:id="rId5" ref="A7"/>
    <hyperlink r:id="rId6" ref="A8"/>
    <hyperlink r:id="rId7" ref="A9"/>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0"/>
    <col customWidth="1" min="2" max="2" width="37.13"/>
    <col customWidth="1" min="3" max="3" width="55.13"/>
    <col customWidth="1" min="4" max="4" width="25.75"/>
    <col customWidth="1" min="5" max="5" width="29.13"/>
    <col customWidth="1" min="7" max="7" width="20.38"/>
    <col customWidth="1" min="8" max="8" width="17.25"/>
  </cols>
  <sheetData>
    <row r="1">
      <c r="A1" s="124" t="s">
        <v>177</v>
      </c>
      <c r="B1" s="3"/>
      <c r="C1" s="3"/>
      <c r="D1" s="3"/>
      <c r="E1" s="3"/>
      <c r="F1" s="3"/>
      <c r="G1" s="3"/>
      <c r="H1" s="4"/>
      <c r="I1" s="104"/>
      <c r="J1" s="104"/>
      <c r="K1" s="104"/>
      <c r="L1" s="104"/>
      <c r="M1" s="104"/>
      <c r="N1" s="104"/>
      <c r="O1" s="104"/>
      <c r="P1" s="104"/>
      <c r="Q1" s="104"/>
      <c r="R1" s="104"/>
      <c r="S1" s="104"/>
      <c r="T1" s="104"/>
      <c r="U1" s="104"/>
      <c r="V1" s="104"/>
      <c r="W1" s="104"/>
      <c r="X1" s="104"/>
      <c r="Y1" s="104"/>
    </row>
    <row r="2">
      <c r="A2" s="125" t="s">
        <v>178</v>
      </c>
      <c r="B2" s="126" t="s">
        <v>179</v>
      </c>
      <c r="C2" s="126" t="s">
        <v>180</v>
      </c>
      <c r="D2" s="126" t="s">
        <v>181</v>
      </c>
      <c r="E2" s="126" t="s">
        <v>182</v>
      </c>
      <c r="F2" s="126" t="s">
        <v>183</v>
      </c>
      <c r="G2" s="126" t="s">
        <v>184</v>
      </c>
      <c r="H2" s="126" t="s">
        <v>40</v>
      </c>
      <c r="I2" s="104"/>
      <c r="J2" s="104"/>
      <c r="K2" s="104"/>
      <c r="L2" s="104"/>
      <c r="M2" s="104"/>
      <c r="N2" s="104"/>
      <c r="O2" s="104"/>
      <c r="P2" s="104"/>
      <c r="Q2" s="104"/>
      <c r="R2" s="104"/>
      <c r="S2" s="104"/>
      <c r="T2" s="104"/>
      <c r="U2" s="104"/>
      <c r="V2" s="104"/>
      <c r="W2" s="104"/>
      <c r="X2" s="104"/>
      <c r="Y2" s="104"/>
    </row>
    <row r="3">
      <c r="A3" s="127">
        <v>1.0</v>
      </c>
      <c r="B3" s="128">
        <v>45978.0</v>
      </c>
      <c r="C3" s="127" t="s">
        <v>185</v>
      </c>
      <c r="D3" s="127" t="s">
        <v>186</v>
      </c>
      <c r="E3" s="127">
        <v>1200.0</v>
      </c>
      <c r="F3" s="119"/>
      <c r="G3" s="119"/>
      <c r="H3" s="119"/>
      <c r="I3" s="104"/>
      <c r="J3" s="104"/>
      <c r="K3" s="104"/>
      <c r="L3" s="104"/>
      <c r="M3" s="104"/>
      <c r="N3" s="104"/>
      <c r="O3" s="104"/>
      <c r="P3" s="104"/>
      <c r="Q3" s="104"/>
      <c r="R3" s="104"/>
      <c r="S3" s="104"/>
      <c r="T3" s="104"/>
      <c r="U3" s="104"/>
      <c r="V3" s="104"/>
      <c r="W3" s="104"/>
      <c r="X3" s="104"/>
      <c r="Y3" s="104"/>
    </row>
    <row r="4">
      <c r="A4" s="127">
        <f t="shared" ref="A4:A7" si="1">A3+1</f>
        <v>2</v>
      </c>
      <c r="B4" s="128">
        <v>45986.0</v>
      </c>
      <c r="C4" s="127" t="s">
        <v>187</v>
      </c>
      <c r="D4" s="127" t="s">
        <v>186</v>
      </c>
      <c r="E4" s="127">
        <v>200.0</v>
      </c>
      <c r="F4" s="119"/>
      <c r="G4" s="119"/>
      <c r="H4" s="119"/>
      <c r="I4" s="104"/>
      <c r="J4" s="104"/>
      <c r="K4" s="104"/>
      <c r="L4" s="104"/>
      <c r="M4" s="104"/>
      <c r="N4" s="104"/>
      <c r="O4" s="104"/>
      <c r="P4" s="104"/>
      <c r="Q4" s="104"/>
      <c r="R4" s="104"/>
      <c r="S4" s="104"/>
      <c r="T4" s="104"/>
      <c r="U4" s="104"/>
      <c r="V4" s="104"/>
      <c r="W4" s="104"/>
      <c r="X4" s="104"/>
      <c r="Y4" s="104"/>
    </row>
    <row r="5">
      <c r="A5" s="127">
        <f t="shared" si="1"/>
        <v>3</v>
      </c>
      <c r="B5" s="128">
        <v>45986.0</v>
      </c>
      <c r="C5" s="127"/>
      <c r="D5" s="127" t="s">
        <v>188</v>
      </c>
      <c r="E5" s="127">
        <v>900.0</v>
      </c>
      <c r="F5" s="119"/>
      <c r="G5" s="119"/>
      <c r="H5" s="127" t="s">
        <v>189</v>
      </c>
      <c r="I5" s="104"/>
      <c r="J5" s="104"/>
      <c r="K5" s="104"/>
      <c r="L5" s="104"/>
      <c r="M5" s="104"/>
      <c r="N5" s="104"/>
      <c r="O5" s="104"/>
      <c r="P5" s="104"/>
      <c r="Q5" s="104"/>
      <c r="R5" s="104"/>
      <c r="S5" s="104"/>
      <c r="T5" s="104"/>
      <c r="U5" s="104"/>
      <c r="V5" s="104"/>
      <c r="W5" s="104"/>
      <c r="X5" s="104"/>
      <c r="Y5" s="104"/>
    </row>
    <row r="6">
      <c r="A6" s="127">
        <f t="shared" si="1"/>
        <v>4</v>
      </c>
      <c r="B6" s="128">
        <v>45989.0</v>
      </c>
      <c r="C6" s="127" t="s">
        <v>190</v>
      </c>
      <c r="D6" s="127" t="s">
        <v>188</v>
      </c>
      <c r="E6" s="127">
        <v>455.0</v>
      </c>
      <c r="F6" s="119"/>
      <c r="G6" s="119"/>
      <c r="H6" s="119"/>
      <c r="I6" s="104"/>
      <c r="J6" s="104"/>
      <c r="K6" s="104"/>
      <c r="L6" s="104"/>
      <c r="M6" s="104"/>
      <c r="N6" s="104"/>
      <c r="O6" s="104"/>
      <c r="P6" s="104"/>
      <c r="Q6" s="104"/>
      <c r="R6" s="104"/>
      <c r="S6" s="104"/>
      <c r="T6" s="104"/>
      <c r="U6" s="104"/>
      <c r="V6" s="104"/>
      <c r="W6" s="104"/>
      <c r="X6" s="104"/>
      <c r="Y6" s="104"/>
    </row>
    <row r="7">
      <c r="A7" s="127">
        <f t="shared" si="1"/>
        <v>5</v>
      </c>
      <c r="B7" s="128">
        <v>45990.0</v>
      </c>
      <c r="C7" s="127" t="s">
        <v>191</v>
      </c>
      <c r="D7" s="127" t="s">
        <v>192</v>
      </c>
      <c r="E7" s="127">
        <v>120.0</v>
      </c>
      <c r="F7" s="119"/>
      <c r="G7" s="119"/>
      <c r="H7" s="119"/>
      <c r="I7" s="104"/>
      <c r="J7" s="104"/>
      <c r="K7" s="104"/>
      <c r="L7" s="104"/>
      <c r="M7" s="104"/>
      <c r="N7" s="104"/>
      <c r="O7" s="104"/>
      <c r="P7" s="104"/>
      <c r="Q7" s="104"/>
      <c r="R7" s="104"/>
      <c r="S7" s="104"/>
      <c r="T7" s="104"/>
      <c r="U7" s="104"/>
      <c r="V7" s="104"/>
      <c r="W7" s="104"/>
      <c r="X7" s="104"/>
      <c r="Y7" s="104"/>
    </row>
    <row r="8">
      <c r="A8" s="127">
        <v>6.0</v>
      </c>
      <c r="B8" s="128">
        <v>46001.0</v>
      </c>
      <c r="C8" s="119"/>
      <c r="D8" s="127" t="s">
        <v>193</v>
      </c>
      <c r="E8" s="127">
        <v>200.0</v>
      </c>
      <c r="F8" s="127">
        <v>200.0</v>
      </c>
      <c r="G8" s="127">
        <v>200.0</v>
      </c>
      <c r="H8" s="127" t="s">
        <v>189</v>
      </c>
      <c r="I8" s="104"/>
      <c r="J8" s="104"/>
      <c r="K8" s="104"/>
      <c r="L8" s="104"/>
      <c r="M8" s="104"/>
      <c r="N8" s="104"/>
      <c r="O8" s="104"/>
      <c r="P8" s="104"/>
      <c r="Q8" s="104"/>
      <c r="R8" s="104"/>
      <c r="S8" s="104"/>
      <c r="T8" s="104"/>
      <c r="U8" s="104"/>
      <c r="V8" s="104"/>
      <c r="W8" s="104"/>
      <c r="X8" s="104"/>
      <c r="Y8" s="104"/>
    </row>
    <row r="9">
      <c r="A9" s="127">
        <f>A8+1</f>
        <v>7</v>
      </c>
      <c r="B9" s="128">
        <v>46005.0</v>
      </c>
      <c r="C9" s="127" t="s">
        <v>194</v>
      </c>
      <c r="D9" s="127" t="s">
        <v>195</v>
      </c>
      <c r="E9" s="127">
        <v>1900.0</v>
      </c>
      <c r="F9" s="127">
        <v>0.0</v>
      </c>
      <c r="G9" s="127">
        <v>0.0</v>
      </c>
      <c r="H9" s="119"/>
      <c r="I9" s="104"/>
      <c r="J9" s="104"/>
      <c r="K9" s="104"/>
      <c r="L9" s="104"/>
      <c r="M9" s="104"/>
      <c r="N9" s="104"/>
      <c r="O9" s="104"/>
      <c r="P9" s="104"/>
      <c r="Q9" s="104"/>
      <c r="R9" s="104"/>
      <c r="S9" s="104"/>
      <c r="T9" s="104"/>
      <c r="U9" s="104"/>
      <c r="V9" s="104"/>
      <c r="W9" s="104"/>
      <c r="X9" s="104"/>
      <c r="Y9" s="104"/>
    </row>
    <row r="10">
      <c r="A10" s="129">
        <v>8.0</v>
      </c>
      <c r="B10" s="130">
        <v>46012.0</v>
      </c>
      <c r="C10" s="127" t="s">
        <v>196</v>
      </c>
      <c r="D10" s="127" t="s">
        <v>195</v>
      </c>
      <c r="E10" s="127">
        <v>300.0</v>
      </c>
      <c r="F10" s="119"/>
      <c r="G10" s="119"/>
      <c r="H10" s="127"/>
      <c r="I10" s="104"/>
      <c r="J10" s="104"/>
      <c r="K10" s="104"/>
      <c r="L10" s="104"/>
      <c r="M10" s="104"/>
      <c r="N10" s="104"/>
      <c r="O10" s="104"/>
      <c r="P10" s="104"/>
      <c r="Q10" s="104"/>
      <c r="R10" s="104"/>
      <c r="S10" s="104"/>
      <c r="T10" s="104"/>
      <c r="U10" s="104"/>
      <c r="V10" s="104"/>
      <c r="W10" s="104"/>
      <c r="X10" s="104"/>
      <c r="Y10" s="104"/>
    </row>
    <row r="11">
      <c r="A11" s="9"/>
      <c r="B11" s="9"/>
      <c r="C11" s="127" t="s">
        <v>197</v>
      </c>
      <c r="D11" s="127" t="s">
        <v>198</v>
      </c>
      <c r="E11" s="127">
        <v>100.0</v>
      </c>
      <c r="F11" s="127">
        <v>100.0</v>
      </c>
      <c r="G11" s="127">
        <v>100.0</v>
      </c>
      <c r="H11" s="127" t="s">
        <v>189</v>
      </c>
      <c r="I11" s="104"/>
      <c r="J11" s="104"/>
      <c r="K11" s="104"/>
      <c r="L11" s="104"/>
      <c r="M11" s="104"/>
      <c r="N11" s="104"/>
      <c r="O11" s="104"/>
      <c r="P11" s="104"/>
      <c r="Q11" s="104"/>
      <c r="R11" s="104"/>
      <c r="S11" s="104"/>
      <c r="T11" s="104"/>
      <c r="U11" s="104"/>
      <c r="V11" s="104"/>
      <c r="W11" s="104"/>
      <c r="X11" s="104"/>
      <c r="Y11" s="104"/>
    </row>
    <row r="12">
      <c r="A12" s="129">
        <v>9.0</v>
      </c>
      <c r="B12" s="130">
        <v>46017.0</v>
      </c>
      <c r="C12" s="127" t="s">
        <v>199</v>
      </c>
      <c r="D12" s="127" t="s">
        <v>200</v>
      </c>
      <c r="E12" s="127">
        <v>700.0</v>
      </c>
      <c r="F12" s="119"/>
      <c r="G12" s="119"/>
      <c r="H12" s="119"/>
      <c r="I12" s="104"/>
      <c r="J12" s="104"/>
      <c r="K12" s="104"/>
      <c r="L12" s="104"/>
      <c r="M12" s="104"/>
      <c r="N12" s="104"/>
      <c r="O12" s="104"/>
      <c r="P12" s="104"/>
      <c r="Q12" s="104"/>
      <c r="R12" s="104"/>
      <c r="S12" s="104"/>
      <c r="T12" s="104"/>
      <c r="U12" s="104"/>
      <c r="V12" s="104"/>
      <c r="W12" s="104"/>
      <c r="X12" s="104"/>
      <c r="Y12" s="104"/>
    </row>
    <row r="13">
      <c r="A13" s="52"/>
      <c r="B13" s="52"/>
      <c r="C13" s="127" t="s">
        <v>201</v>
      </c>
      <c r="D13" s="127" t="s">
        <v>202</v>
      </c>
      <c r="E13" s="127">
        <v>260.0</v>
      </c>
      <c r="F13" s="119"/>
      <c r="G13" s="119"/>
      <c r="H13" s="119"/>
      <c r="I13" s="104"/>
      <c r="J13" s="104"/>
      <c r="K13" s="104"/>
      <c r="L13" s="104"/>
      <c r="M13" s="104"/>
      <c r="N13" s="104"/>
      <c r="O13" s="104"/>
      <c r="P13" s="104"/>
      <c r="Q13" s="104"/>
      <c r="R13" s="104"/>
      <c r="S13" s="104"/>
      <c r="T13" s="104"/>
      <c r="U13" s="104"/>
      <c r="V13" s="104"/>
      <c r="W13" s="104"/>
      <c r="X13" s="104"/>
      <c r="Y13" s="104"/>
    </row>
    <row r="14">
      <c r="A14" s="9"/>
      <c r="B14" s="9"/>
      <c r="C14" s="127" t="s">
        <v>203</v>
      </c>
      <c r="D14" s="119"/>
      <c r="E14" s="127">
        <v>175.0</v>
      </c>
      <c r="F14" s="119"/>
      <c r="G14" s="119"/>
      <c r="H14" s="127" t="s">
        <v>189</v>
      </c>
      <c r="I14" s="104"/>
      <c r="J14" s="104"/>
      <c r="K14" s="104"/>
      <c r="L14" s="104"/>
      <c r="M14" s="104"/>
      <c r="N14" s="104"/>
      <c r="O14" s="104"/>
      <c r="P14" s="104"/>
      <c r="Q14" s="104"/>
      <c r="R14" s="104"/>
      <c r="S14" s="104"/>
      <c r="T14" s="104"/>
      <c r="U14" s="104"/>
      <c r="V14" s="104"/>
      <c r="W14" s="104"/>
      <c r="X14" s="104"/>
      <c r="Y14" s="104"/>
    </row>
    <row r="15">
      <c r="A15" s="129">
        <v>10.0</v>
      </c>
      <c r="B15" s="130">
        <v>46018.0</v>
      </c>
      <c r="C15" s="127" t="s">
        <v>204</v>
      </c>
      <c r="D15" s="119"/>
      <c r="E15" s="127">
        <v>70.0</v>
      </c>
      <c r="F15" s="119"/>
      <c r="G15" s="119"/>
      <c r="H15" s="119"/>
      <c r="I15" s="104"/>
      <c r="J15" s="104"/>
      <c r="K15" s="104"/>
      <c r="L15" s="104"/>
      <c r="M15" s="104"/>
      <c r="N15" s="104"/>
      <c r="O15" s="104"/>
      <c r="P15" s="104"/>
      <c r="Q15" s="104"/>
      <c r="R15" s="104"/>
      <c r="S15" s="104"/>
      <c r="T15" s="104"/>
      <c r="U15" s="104"/>
      <c r="V15" s="104"/>
      <c r="W15" s="104"/>
      <c r="X15" s="104"/>
      <c r="Y15" s="104"/>
    </row>
    <row r="16">
      <c r="A16" s="9"/>
      <c r="B16" s="9"/>
      <c r="C16" s="127" t="s">
        <v>205</v>
      </c>
      <c r="D16" s="119"/>
      <c r="E16" s="127">
        <v>90.0</v>
      </c>
      <c r="F16" s="119"/>
      <c r="G16" s="119"/>
      <c r="H16" s="127" t="s">
        <v>189</v>
      </c>
      <c r="I16" s="104"/>
      <c r="J16" s="104"/>
      <c r="K16" s="104"/>
      <c r="L16" s="104"/>
      <c r="M16" s="104"/>
      <c r="N16" s="104"/>
      <c r="O16" s="104"/>
      <c r="P16" s="104"/>
      <c r="Q16" s="104"/>
      <c r="R16" s="104"/>
      <c r="S16" s="104"/>
      <c r="T16" s="104"/>
      <c r="U16" s="104"/>
      <c r="V16" s="104"/>
      <c r="W16" s="104"/>
      <c r="X16" s="104"/>
      <c r="Y16" s="104"/>
    </row>
    <row r="17">
      <c r="A17" s="129">
        <v>11.0</v>
      </c>
      <c r="B17" s="130">
        <v>46019.0</v>
      </c>
      <c r="C17" s="127" t="s">
        <v>205</v>
      </c>
      <c r="D17" s="127"/>
      <c r="E17" s="127">
        <v>232.0</v>
      </c>
      <c r="F17" s="119"/>
      <c r="G17" s="119"/>
      <c r="H17" s="127" t="s">
        <v>189</v>
      </c>
      <c r="I17" s="104"/>
      <c r="J17" s="104"/>
      <c r="K17" s="104"/>
      <c r="L17" s="104"/>
      <c r="M17" s="104"/>
      <c r="N17" s="104"/>
      <c r="O17" s="104"/>
      <c r="P17" s="104"/>
      <c r="Q17" s="104"/>
      <c r="R17" s="104"/>
      <c r="S17" s="104"/>
      <c r="T17" s="104"/>
      <c r="U17" s="104"/>
      <c r="V17" s="104"/>
      <c r="W17" s="104"/>
      <c r="X17" s="104"/>
      <c r="Y17" s="104"/>
    </row>
    <row r="18">
      <c r="A18" s="9"/>
      <c r="B18" s="9"/>
      <c r="C18" s="127" t="s">
        <v>203</v>
      </c>
      <c r="D18" s="127"/>
      <c r="E18" s="127">
        <v>226.0</v>
      </c>
      <c r="F18" s="127">
        <v>2100.0</v>
      </c>
      <c r="G18" s="119"/>
      <c r="H18" s="127" t="s">
        <v>189</v>
      </c>
      <c r="I18" s="104"/>
      <c r="J18" s="104"/>
      <c r="K18" s="104"/>
      <c r="L18" s="104"/>
      <c r="M18" s="104"/>
      <c r="N18" s="104"/>
      <c r="O18" s="104"/>
      <c r="P18" s="104"/>
      <c r="Q18" s="104"/>
      <c r="R18" s="104"/>
      <c r="S18" s="104"/>
      <c r="T18" s="104"/>
      <c r="U18" s="104"/>
      <c r="V18" s="104"/>
      <c r="W18" s="104"/>
      <c r="X18" s="104"/>
      <c r="Y18" s="104"/>
    </row>
    <row r="19">
      <c r="A19" s="129">
        <v>12.0</v>
      </c>
      <c r="B19" s="130">
        <v>46020.0</v>
      </c>
      <c r="C19" s="127" t="s">
        <v>206</v>
      </c>
      <c r="D19" s="119"/>
      <c r="E19" s="127">
        <v>100.0</v>
      </c>
      <c r="F19" s="127">
        <v>100.0</v>
      </c>
      <c r="G19" s="119"/>
      <c r="H19" s="127" t="s">
        <v>189</v>
      </c>
      <c r="I19" s="104"/>
      <c r="J19" s="104"/>
      <c r="K19" s="104"/>
      <c r="L19" s="104"/>
      <c r="M19" s="104"/>
      <c r="N19" s="104"/>
      <c r="O19" s="104"/>
      <c r="P19" s="104"/>
      <c r="Q19" s="104"/>
      <c r="R19" s="104"/>
      <c r="S19" s="104"/>
      <c r="T19" s="104"/>
      <c r="U19" s="104"/>
      <c r="V19" s="104"/>
      <c r="W19" s="104"/>
      <c r="X19" s="104"/>
      <c r="Y19" s="104"/>
    </row>
    <row r="20">
      <c r="A20" s="9"/>
      <c r="B20" s="9"/>
      <c r="C20" s="127" t="s">
        <v>207</v>
      </c>
      <c r="D20" s="119"/>
      <c r="E20" s="127">
        <v>20.0</v>
      </c>
      <c r="F20" s="127">
        <v>260.0</v>
      </c>
      <c r="G20" s="119"/>
      <c r="H20" s="127" t="s">
        <v>189</v>
      </c>
      <c r="I20" s="104"/>
      <c r="J20" s="104"/>
      <c r="K20" s="104"/>
      <c r="L20" s="104"/>
      <c r="M20" s="104"/>
      <c r="N20" s="104"/>
      <c r="O20" s="104"/>
      <c r="P20" s="104"/>
      <c r="Q20" s="104"/>
      <c r="R20" s="104"/>
      <c r="S20" s="104"/>
      <c r="T20" s="104"/>
      <c r="U20" s="104"/>
      <c r="V20" s="104"/>
      <c r="W20" s="104"/>
      <c r="X20" s="104"/>
      <c r="Y20" s="104"/>
    </row>
    <row r="21">
      <c r="A21" s="129">
        <v>13.0</v>
      </c>
      <c r="B21" s="130">
        <v>46021.0</v>
      </c>
      <c r="C21" s="127" t="s">
        <v>208</v>
      </c>
      <c r="D21" s="127" t="s">
        <v>209</v>
      </c>
      <c r="E21" s="127">
        <v>350.0</v>
      </c>
      <c r="F21" s="127">
        <v>350.0</v>
      </c>
      <c r="G21" s="127">
        <v>350.0</v>
      </c>
      <c r="H21" s="127" t="s">
        <v>189</v>
      </c>
      <c r="I21" s="104"/>
      <c r="J21" s="104"/>
      <c r="K21" s="104"/>
      <c r="L21" s="104"/>
      <c r="M21" s="104"/>
      <c r="N21" s="104"/>
      <c r="O21" s="104"/>
      <c r="P21" s="104"/>
      <c r="Q21" s="104"/>
      <c r="R21" s="104"/>
      <c r="S21" s="104"/>
      <c r="T21" s="104"/>
      <c r="U21" s="104"/>
      <c r="V21" s="104"/>
      <c r="W21" s="104"/>
      <c r="X21" s="104"/>
      <c r="Y21" s="104"/>
    </row>
    <row r="22">
      <c r="A22" s="52"/>
      <c r="B22" s="52"/>
      <c r="C22" s="127" t="s">
        <v>206</v>
      </c>
      <c r="D22" s="127"/>
      <c r="E22" s="127">
        <v>120.0</v>
      </c>
      <c r="F22" s="127">
        <v>120.0</v>
      </c>
      <c r="G22" s="127">
        <v>120.0</v>
      </c>
      <c r="H22" s="127" t="s">
        <v>189</v>
      </c>
      <c r="I22" s="104"/>
      <c r="J22" s="104"/>
      <c r="K22" s="104"/>
      <c r="L22" s="104"/>
      <c r="M22" s="104"/>
      <c r="N22" s="104"/>
      <c r="O22" s="104"/>
      <c r="P22" s="104"/>
      <c r="Q22" s="104"/>
      <c r="R22" s="104"/>
      <c r="S22" s="104"/>
      <c r="T22" s="104"/>
      <c r="U22" s="104"/>
      <c r="V22" s="104"/>
      <c r="W22" s="104"/>
      <c r="X22" s="104"/>
      <c r="Y22" s="104"/>
    </row>
    <row r="23">
      <c r="A23" s="9"/>
      <c r="B23" s="9"/>
      <c r="C23" s="127" t="s">
        <v>210</v>
      </c>
      <c r="D23" s="127" t="s">
        <v>211</v>
      </c>
      <c r="E23" s="127">
        <v>490.0</v>
      </c>
      <c r="F23" s="127">
        <v>2700.0</v>
      </c>
      <c r="G23" s="119"/>
      <c r="H23" s="127" t="s">
        <v>189</v>
      </c>
      <c r="I23" s="104"/>
      <c r="J23" s="104"/>
      <c r="K23" s="104"/>
      <c r="L23" s="104"/>
      <c r="M23" s="104"/>
      <c r="N23" s="104"/>
      <c r="O23" s="104"/>
      <c r="P23" s="104"/>
      <c r="Q23" s="104"/>
      <c r="R23" s="104"/>
      <c r="S23" s="104"/>
      <c r="T23" s="104"/>
      <c r="U23" s="104"/>
      <c r="V23" s="104"/>
      <c r="W23" s="104"/>
      <c r="X23" s="104"/>
      <c r="Y23" s="104"/>
    </row>
    <row r="24">
      <c r="A24" s="127">
        <v>14.0</v>
      </c>
      <c r="B24" s="128">
        <v>46022.0</v>
      </c>
      <c r="C24" s="127" t="s">
        <v>212</v>
      </c>
      <c r="D24" s="127" t="s">
        <v>213</v>
      </c>
      <c r="E24" s="127">
        <v>200.0</v>
      </c>
      <c r="F24" s="127">
        <v>200.0</v>
      </c>
      <c r="G24" s="119"/>
      <c r="H24" s="127" t="s">
        <v>189</v>
      </c>
      <c r="I24" s="104"/>
      <c r="J24" s="104"/>
      <c r="K24" s="104"/>
      <c r="L24" s="104"/>
      <c r="M24" s="104"/>
      <c r="N24" s="104"/>
      <c r="O24" s="104"/>
      <c r="P24" s="104"/>
      <c r="Q24" s="104"/>
      <c r="R24" s="104"/>
      <c r="S24" s="104"/>
      <c r="T24" s="104"/>
      <c r="U24" s="104"/>
      <c r="V24" s="104"/>
      <c r="W24" s="104"/>
      <c r="X24" s="104"/>
      <c r="Y24" s="104"/>
    </row>
    <row r="25">
      <c r="A25" s="129">
        <v>15.0</v>
      </c>
      <c r="B25" s="131">
        <v>46028.0</v>
      </c>
      <c r="C25" s="127" t="s">
        <v>208</v>
      </c>
      <c r="D25" s="127" t="s">
        <v>209</v>
      </c>
      <c r="E25" s="127">
        <v>35.0</v>
      </c>
      <c r="F25" s="127">
        <v>35.0</v>
      </c>
      <c r="G25" s="119"/>
      <c r="H25" s="127" t="s">
        <v>189</v>
      </c>
      <c r="I25" s="104"/>
      <c r="J25" s="104"/>
      <c r="K25" s="104"/>
      <c r="L25" s="104"/>
      <c r="M25" s="104"/>
      <c r="N25" s="104"/>
      <c r="O25" s="104"/>
      <c r="P25" s="104"/>
      <c r="Q25" s="104"/>
      <c r="R25" s="104"/>
      <c r="S25" s="104"/>
      <c r="T25" s="104"/>
      <c r="U25" s="104"/>
      <c r="V25" s="104"/>
      <c r="W25" s="104"/>
      <c r="X25" s="104"/>
      <c r="Y25" s="104"/>
    </row>
    <row r="26">
      <c r="A26" s="9"/>
      <c r="B26" s="9"/>
      <c r="C26" s="127" t="s">
        <v>214</v>
      </c>
      <c r="D26" s="127" t="s">
        <v>215</v>
      </c>
      <c r="E26" s="127">
        <v>50.0</v>
      </c>
      <c r="F26" s="127">
        <v>50.0</v>
      </c>
      <c r="G26" s="119"/>
      <c r="H26" s="127" t="s">
        <v>189</v>
      </c>
      <c r="I26" s="104"/>
      <c r="J26" s="104"/>
      <c r="K26" s="104"/>
      <c r="L26" s="104"/>
      <c r="M26" s="104"/>
      <c r="N26" s="104"/>
      <c r="O26" s="104"/>
      <c r="P26" s="104"/>
      <c r="Q26" s="104"/>
      <c r="R26" s="104"/>
      <c r="S26" s="104"/>
      <c r="T26" s="104"/>
      <c r="U26" s="104"/>
      <c r="V26" s="104"/>
      <c r="W26" s="104"/>
      <c r="X26" s="104"/>
      <c r="Y26" s="104"/>
    </row>
    <row r="27">
      <c r="A27" s="127">
        <v>16.0</v>
      </c>
      <c r="B27" s="132">
        <v>46030.0</v>
      </c>
      <c r="C27" s="127" t="s">
        <v>216</v>
      </c>
      <c r="D27" s="127" t="s">
        <v>215</v>
      </c>
      <c r="E27" s="127">
        <v>150.0</v>
      </c>
      <c r="F27" s="127">
        <v>150.0</v>
      </c>
      <c r="G27" s="119"/>
      <c r="H27" s="127" t="s">
        <v>189</v>
      </c>
      <c r="I27" s="104"/>
      <c r="J27" s="104"/>
      <c r="K27" s="104"/>
      <c r="L27" s="104"/>
      <c r="M27" s="104"/>
      <c r="N27" s="104"/>
      <c r="O27" s="104"/>
      <c r="P27" s="104"/>
      <c r="Q27" s="104"/>
      <c r="R27" s="104"/>
      <c r="S27" s="104"/>
      <c r="T27" s="104"/>
      <c r="U27" s="104"/>
      <c r="V27" s="104"/>
      <c r="W27" s="104"/>
      <c r="X27" s="104"/>
      <c r="Y27" s="104"/>
    </row>
    <row r="28">
      <c r="A28" s="127">
        <v>17.0</v>
      </c>
      <c r="B28" s="132">
        <v>46035.0</v>
      </c>
      <c r="C28" s="127" t="s">
        <v>208</v>
      </c>
      <c r="D28" s="127" t="s">
        <v>209</v>
      </c>
      <c r="E28" s="127">
        <v>100.0</v>
      </c>
      <c r="F28" s="127">
        <v>100.0</v>
      </c>
      <c r="G28" s="119"/>
      <c r="H28" s="127" t="s">
        <v>189</v>
      </c>
      <c r="I28" s="104"/>
      <c r="J28" s="104"/>
      <c r="K28" s="104"/>
      <c r="L28" s="104"/>
      <c r="M28" s="104"/>
      <c r="N28" s="104"/>
      <c r="O28" s="104"/>
      <c r="P28" s="104"/>
      <c r="Q28" s="104"/>
      <c r="R28" s="104"/>
      <c r="S28" s="104"/>
      <c r="T28" s="104"/>
      <c r="U28" s="104"/>
      <c r="V28" s="104"/>
      <c r="W28" s="104"/>
      <c r="X28" s="104"/>
      <c r="Y28" s="104"/>
    </row>
    <row r="29">
      <c r="A29" s="127">
        <v>18.0</v>
      </c>
      <c r="B29" s="132">
        <v>46036.0</v>
      </c>
      <c r="C29" s="127" t="s">
        <v>217</v>
      </c>
      <c r="D29" s="127" t="s">
        <v>218</v>
      </c>
      <c r="E29" s="127">
        <v>40.0</v>
      </c>
      <c r="F29" s="127">
        <v>40.0</v>
      </c>
      <c r="G29" s="119"/>
      <c r="H29" s="119"/>
      <c r="I29" s="104"/>
      <c r="J29" s="104"/>
      <c r="K29" s="104"/>
      <c r="L29" s="104"/>
      <c r="M29" s="104"/>
      <c r="N29" s="104"/>
      <c r="O29" s="104"/>
      <c r="P29" s="104"/>
      <c r="Q29" s="104"/>
      <c r="R29" s="104"/>
      <c r="S29" s="104"/>
      <c r="T29" s="104"/>
      <c r="U29" s="104"/>
      <c r="V29" s="104"/>
      <c r="W29" s="104"/>
      <c r="X29" s="104"/>
      <c r="Y29" s="104"/>
    </row>
    <row r="30">
      <c r="A30" s="129">
        <v>19.0</v>
      </c>
      <c r="B30" s="131">
        <v>46037.0</v>
      </c>
      <c r="C30" s="127" t="s">
        <v>219</v>
      </c>
      <c r="D30" s="127" t="s">
        <v>220</v>
      </c>
      <c r="E30" s="127">
        <v>100.0</v>
      </c>
      <c r="F30" s="127">
        <v>100.0</v>
      </c>
      <c r="G30" s="119"/>
      <c r="H30" s="119"/>
      <c r="I30" s="104"/>
      <c r="J30" s="104"/>
      <c r="K30" s="104"/>
      <c r="L30" s="104"/>
      <c r="M30" s="104"/>
      <c r="N30" s="104"/>
      <c r="O30" s="104"/>
      <c r="P30" s="104"/>
      <c r="Q30" s="104"/>
      <c r="R30" s="104"/>
      <c r="S30" s="104"/>
      <c r="T30" s="104"/>
      <c r="U30" s="104"/>
      <c r="V30" s="104"/>
      <c r="W30" s="104"/>
      <c r="X30" s="104"/>
      <c r="Y30" s="104"/>
    </row>
    <row r="31">
      <c r="A31" s="9"/>
      <c r="B31" s="9"/>
      <c r="C31" s="127" t="s">
        <v>217</v>
      </c>
      <c r="D31" s="127" t="s">
        <v>218</v>
      </c>
      <c r="E31" s="127">
        <v>36.0</v>
      </c>
      <c r="F31" s="127">
        <v>36.0</v>
      </c>
      <c r="G31" s="119"/>
      <c r="H31" s="119"/>
      <c r="I31" s="104"/>
      <c r="J31" s="104"/>
      <c r="K31" s="104"/>
      <c r="L31" s="104"/>
      <c r="M31" s="104"/>
      <c r="N31" s="104"/>
      <c r="O31" s="104"/>
      <c r="P31" s="104"/>
      <c r="Q31" s="104"/>
      <c r="R31" s="104"/>
      <c r="S31" s="104"/>
      <c r="T31" s="104"/>
      <c r="U31" s="104"/>
      <c r="V31" s="104"/>
      <c r="W31" s="104"/>
      <c r="X31" s="104"/>
      <c r="Y31" s="104"/>
    </row>
    <row r="32">
      <c r="A32" s="129">
        <v>20.0</v>
      </c>
      <c r="B32" s="131">
        <v>46041.0</v>
      </c>
      <c r="C32" s="127" t="s">
        <v>221</v>
      </c>
      <c r="D32" s="119"/>
      <c r="E32" s="127">
        <v>1100.0</v>
      </c>
      <c r="F32" s="127">
        <v>1100.0</v>
      </c>
      <c r="G32" s="119"/>
      <c r="H32" s="119"/>
      <c r="I32" s="104"/>
      <c r="J32" s="104"/>
      <c r="K32" s="104"/>
      <c r="L32" s="104"/>
      <c r="M32" s="104"/>
      <c r="N32" s="104"/>
      <c r="O32" s="104"/>
      <c r="P32" s="104"/>
      <c r="Q32" s="104"/>
      <c r="R32" s="104"/>
      <c r="S32" s="104"/>
      <c r="T32" s="104"/>
      <c r="U32" s="104"/>
      <c r="V32" s="104"/>
      <c r="W32" s="104"/>
      <c r="X32" s="104"/>
      <c r="Y32" s="104"/>
    </row>
    <row r="33">
      <c r="A33" s="9"/>
      <c r="B33" s="9"/>
      <c r="C33" s="127" t="s">
        <v>222</v>
      </c>
      <c r="D33" s="119"/>
      <c r="E33" s="127">
        <v>500.0</v>
      </c>
      <c r="F33" s="127">
        <v>500.0</v>
      </c>
      <c r="G33" s="119"/>
      <c r="H33" s="119"/>
      <c r="I33" s="104"/>
      <c r="J33" s="104"/>
      <c r="K33" s="104"/>
      <c r="L33" s="104"/>
      <c r="M33" s="104"/>
      <c r="N33" s="104"/>
      <c r="O33" s="104"/>
      <c r="P33" s="104"/>
      <c r="Q33" s="104"/>
      <c r="R33" s="104"/>
      <c r="S33" s="104"/>
      <c r="T33" s="104"/>
      <c r="U33" s="104"/>
      <c r="V33" s="104"/>
      <c r="W33" s="104"/>
      <c r="X33" s="104"/>
      <c r="Y33" s="104"/>
    </row>
    <row r="34">
      <c r="A34" s="127">
        <v>21.0</v>
      </c>
      <c r="B34" s="132">
        <v>46048.0</v>
      </c>
      <c r="C34" s="127" t="s">
        <v>223</v>
      </c>
      <c r="D34" s="127" t="s">
        <v>224</v>
      </c>
      <c r="E34" s="127">
        <v>950.0</v>
      </c>
      <c r="F34" s="127">
        <v>950.0</v>
      </c>
      <c r="G34" s="119"/>
      <c r="H34" s="119"/>
      <c r="I34" s="104"/>
      <c r="J34" s="104"/>
      <c r="K34" s="104"/>
      <c r="L34" s="104"/>
      <c r="M34" s="104"/>
      <c r="N34" s="104"/>
      <c r="O34" s="104"/>
      <c r="P34" s="104"/>
      <c r="Q34" s="104"/>
      <c r="R34" s="104"/>
      <c r="S34" s="104"/>
      <c r="T34" s="104"/>
      <c r="U34" s="104"/>
      <c r="V34" s="104"/>
      <c r="W34" s="104"/>
      <c r="X34" s="104"/>
      <c r="Y34" s="104"/>
    </row>
    <row r="35">
      <c r="A35" s="127">
        <v>22.0</v>
      </c>
      <c r="B35" s="132">
        <v>46049.0</v>
      </c>
      <c r="C35" s="127" t="s">
        <v>225</v>
      </c>
      <c r="D35" s="127" t="s">
        <v>218</v>
      </c>
      <c r="E35" s="127">
        <v>500.0</v>
      </c>
      <c r="F35" s="127">
        <v>500.0</v>
      </c>
      <c r="G35" s="119"/>
      <c r="H35" s="119"/>
      <c r="I35" s="104"/>
      <c r="J35" s="104"/>
      <c r="K35" s="104"/>
      <c r="L35" s="104"/>
      <c r="M35" s="104"/>
      <c r="N35" s="104"/>
      <c r="O35" s="104"/>
      <c r="P35" s="104"/>
      <c r="Q35" s="104"/>
      <c r="R35" s="104"/>
      <c r="S35" s="104"/>
      <c r="T35" s="104"/>
      <c r="U35" s="104"/>
      <c r="V35" s="104"/>
      <c r="W35" s="104"/>
      <c r="X35" s="104"/>
      <c r="Y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row>
    <row r="1001">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row>
    <row r="1002">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row>
    <row r="1003">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row>
    <row r="1004">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row>
    <row r="100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row>
  </sheetData>
  <mergeCells count="19">
    <mergeCell ref="A1:H1"/>
    <mergeCell ref="A10:A11"/>
    <mergeCell ref="B10:B11"/>
    <mergeCell ref="A12:A14"/>
    <mergeCell ref="B12:B14"/>
    <mergeCell ref="A15:A16"/>
    <mergeCell ref="B15:B16"/>
    <mergeCell ref="A25:A26"/>
    <mergeCell ref="A30:A31"/>
    <mergeCell ref="B30:B31"/>
    <mergeCell ref="A32:A33"/>
    <mergeCell ref="B32:B33"/>
    <mergeCell ref="A17:A18"/>
    <mergeCell ref="B17:B18"/>
    <mergeCell ref="A19:A20"/>
    <mergeCell ref="B19:B20"/>
    <mergeCell ref="A21:A23"/>
    <mergeCell ref="B21:B23"/>
    <mergeCell ref="B25:B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35.63"/>
    <col customWidth="1" min="3" max="3" width="84.38"/>
    <col customWidth="1" min="4" max="4" width="27.63"/>
    <col customWidth="1" min="6" max="6" width="21.63"/>
    <col customWidth="1" min="7" max="7" width="33.25"/>
  </cols>
  <sheetData>
    <row r="1">
      <c r="A1" s="133" t="s">
        <v>226</v>
      </c>
      <c r="B1" s="3"/>
      <c r="C1" s="3"/>
      <c r="D1" s="3"/>
      <c r="E1" s="3"/>
      <c r="F1" s="3"/>
      <c r="G1" s="4"/>
    </row>
    <row r="2">
      <c r="A2" s="134" t="s">
        <v>178</v>
      </c>
      <c r="B2" s="135" t="s">
        <v>227</v>
      </c>
      <c r="C2" s="135" t="s">
        <v>180</v>
      </c>
      <c r="D2" s="135" t="s">
        <v>182</v>
      </c>
      <c r="E2" s="135" t="s">
        <v>183</v>
      </c>
      <c r="F2" s="135" t="s">
        <v>184</v>
      </c>
      <c r="G2" s="135" t="s">
        <v>40</v>
      </c>
    </row>
    <row r="3">
      <c r="A3" s="136">
        <v>1.0</v>
      </c>
      <c r="B3" s="137">
        <v>45990.0</v>
      </c>
      <c r="C3" s="136" t="s">
        <v>228</v>
      </c>
      <c r="D3" s="136">
        <v>25.0</v>
      </c>
      <c r="E3" s="138"/>
      <c r="F3" s="138"/>
      <c r="G3" s="138"/>
    </row>
    <row r="4">
      <c r="A4" s="136">
        <v>2.0</v>
      </c>
      <c r="B4" s="137">
        <v>45990.0</v>
      </c>
      <c r="C4" s="136" t="s">
        <v>229</v>
      </c>
      <c r="D4" s="136">
        <v>36.0</v>
      </c>
      <c r="E4" s="138"/>
      <c r="F4" s="138"/>
      <c r="G4" s="138"/>
    </row>
    <row r="5">
      <c r="A5" s="136">
        <v>3.0</v>
      </c>
      <c r="B5" s="139">
        <v>45992.0</v>
      </c>
      <c r="C5" s="136" t="s">
        <v>230</v>
      </c>
      <c r="D5" s="136">
        <v>90.0</v>
      </c>
      <c r="E5" s="138"/>
      <c r="F5" s="138"/>
      <c r="G5" s="138"/>
    </row>
    <row r="6">
      <c r="A6" s="136">
        <v>4.0</v>
      </c>
      <c r="B6" s="139">
        <v>45993.0</v>
      </c>
      <c r="C6" s="136" t="s">
        <v>231</v>
      </c>
      <c r="D6" s="136">
        <v>92.0</v>
      </c>
      <c r="E6" s="138"/>
      <c r="F6" s="138"/>
      <c r="G6" s="138"/>
    </row>
    <row r="7">
      <c r="A7" s="136">
        <v>5.0</v>
      </c>
      <c r="B7" s="139">
        <v>45996.0</v>
      </c>
      <c r="C7" s="136" t="s">
        <v>232</v>
      </c>
      <c r="D7" s="136">
        <v>60.0</v>
      </c>
      <c r="E7" s="138"/>
      <c r="F7" s="138"/>
      <c r="G7" s="138"/>
    </row>
    <row r="8">
      <c r="A8" s="140">
        <v>6.0</v>
      </c>
      <c r="B8" s="141">
        <v>45997.0</v>
      </c>
      <c r="C8" s="138" t="s">
        <v>233</v>
      </c>
      <c r="D8" s="142">
        <v>124.0</v>
      </c>
      <c r="E8" s="138"/>
      <c r="F8" s="138"/>
      <c r="G8" s="138"/>
    </row>
    <row r="9">
      <c r="A9" s="9"/>
      <c r="B9" s="9"/>
      <c r="C9" s="138" t="s">
        <v>234</v>
      </c>
      <c r="D9" s="142">
        <v>40.0</v>
      </c>
      <c r="E9" s="138"/>
      <c r="F9" s="138"/>
      <c r="G9" s="138"/>
    </row>
    <row r="10">
      <c r="A10" s="136">
        <v>7.0</v>
      </c>
      <c r="B10" s="143">
        <v>46000.0</v>
      </c>
      <c r="C10" s="136" t="s">
        <v>235</v>
      </c>
      <c r="D10" s="136">
        <v>25.0</v>
      </c>
      <c r="E10" s="138"/>
      <c r="F10" s="138"/>
      <c r="G10" s="138"/>
    </row>
    <row r="11">
      <c r="A11" s="140">
        <v>8.0</v>
      </c>
      <c r="B11" s="144">
        <v>46001.0</v>
      </c>
      <c r="C11" s="136" t="s">
        <v>236</v>
      </c>
      <c r="D11" s="145">
        <v>64.0</v>
      </c>
      <c r="E11" s="138"/>
      <c r="F11" s="138"/>
      <c r="G11" s="138"/>
    </row>
    <row r="12">
      <c r="A12" s="52"/>
      <c r="B12" s="52"/>
      <c r="C12" s="136" t="s">
        <v>237</v>
      </c>
      <c r="D12" s="136">
        <v>55.0</v>
      </c>
      <c r="E12" s="138"/>
      <c r="F12" s="138"/>
      <c r="G12" s="138"/>
    </row>
    <row r="13">
      <c r="A13" s="9"/>
      <c r="B13" s="9"/>
      <c r="C13" s="136" t="s">
        <v>238</v>
      </c>
      <c r="D13" s="136">
        <v>153.0</v>
      </c>
      <c r="E13" s="138"/>
      <c r="F13" s="138"/>
      <c r="G13" s="138"/>
    </row>
    <row r="14">
      <c r="A14" s="136">
        <v>9.0</v>
      </c>
      <c r="B14" s="143">
        <v>46002.0</v>
      </c>
      <c r="C14" s="136" t="s">
        <v>239</v>
      </c>
      <c r="D14" s="136">
        <v>153.0</v>
      </c>
      <c r="E14" s="138"/>
      <c r="F14" s="138"/>
      <c r="G14" s="136" t="s">
        <v>240</v>
      </c>
    </row>
    <row r="15">
      <c r="A15" s="140">
        <v>10.0</v>
      </c>
      <c r="B15" s="146">
        <v>46003.0</v>
      </c>
      <c r="C15" s="136" t="s">
        <v>241</v>
      </c>
      <c r="D15" s="136">
        <v>25.0</v>
      </c>
      <c r="E15" s="138"/>
      <c r="F15" s="138"/>
      <c r="G15" s="138"/>
    </row>
    <row r="16">
      <c r="A16" s="52"/>
      <c r="B16" s="52"/>
      <c r="C16" s="136" t="s">
        <v>242</v>
      </c>
      <c r="D16" s="136">
        <v>20.0</v>
      </c>
      <c r="E16" s="138"/>
      <c r="F16" s="138"/>
      <c r="G16" s="138"/>
    </row>
    <row r="17" ht="66.75" customHeight="1">
      <c r="A17" s="52"/>
      <c r="B17" s="52"/>
      <c r="C17" s="136" t="s">
        <v>243</v>
      </c>
      <c r="D17" s="136">
        <v>25.0</v>
      </c>
      <c r="E17" s="138"/>
      <c r="F17" s="138"/>
      <c r="G17" s="136" t="s">
        <v>244</v>
      </c>
    </row>
    <row r="18" ht="29.25" customHeight="1">
      <c r="A18" s="52"/>
      <c r="B18" s="52"/>
      <c r="C18" s="136" t="s">
        <v>245</v>
      </c>
      <c r="D18" s="136">
        <v>25.0</v>
      </c>
      <c r="E18" s="138"/>
      <c r="F18" s="138"/>
      <c r="G18" s="138"/>
    </row>
    <row r="19">
      <c r="A19" s="52"/>
      <c r="B19" s="52"/>
      <c r="C19" s="136" t="s">
        <v>246</v>
      </c>
      <c r="D19" s="136">
        <v>25.0</v>
      </c>
      <c r="E19" s="138"/>
      <c r="F19" s="138"/>
      <c r="G19" s="138"/>
    </row>
    <row r="20">
      <c r="A20" s="9"/>
      <c r="B20" s="9"/>
      <c r="C20" s="136" t="s">
        <v>247</v>
      </c>
      <c r="D20" s="136">
        <v>25.0</v>
      </c>
      <c r="E20" s="138"/>
      <c r="F20" s="138"/>
      <c r="G20" s="138"/>
    </row>
    <row r="21">
      <c r="A21" s="140">
        <v>11.0</v>
      </c>
      <c r="B21" s="140" t="s">
        <v>248</v>
      </c>
      <c r="C21" s="142" t="s">
        <v>249</v>
      </c>
      <c r="D21" s="136">
        <v>153.0</v>
      </c>
      <c r="E21" s="138"/>
      <c r="F21" s="138"/>
      <c r="G21" s="138"/>
    </row>
    <row r="22">
      <c r="A22" s="9"/>
      <c r="B22" s="9"/>
      <c r="C22" s="142" t="s">
        <v>250</v>
      </c>
      <c r="D22" s="136">
        <v>20.0</v>
      </c>
      <c r="E22" s="138"/>
      <c r="F22" s="138"/>
      <c r="G22" s="138"/>
    </row>
    <row r="23">
      <c r="A23" s="140">
        <v>12.0</v>
      </c>
      <c r="B23" s="146">
        <v>46005.0</v>
      </c>
      <c r="C23" s="142" t="s">
        <v>251</v>
      </c>
      <c r="D23" s="142">
        <v>25.0</v>
      </c>
      <c r="E23" s="138"/>
      <c r="F23" s="138"/>
      <c r="G23" s="138"/>
    </row>
    <row r="24">
      <c r="A24" s="52"/>
      <c r="B24" s="52"/>
      <c r="C24" s="142" t="s">
        <v>252</v>
      </c>
      <c r="D24" s="142">
        <v>106.0</v>
      </c>
      <c r="E24" s="138"/>
      <c r="F24" s="138"/>
      <c r="G24" s="138"/>
    </row>
    <row r="25">
      <c r="A25" s="9"/>
      <c r="B25" s="9"/>
      <c r="C25" s="142" t="s">
        <v>253</v>
      </c>
      <c r="D25" s="142">
        <v>35.0</v>
      </c>
      <c r="E25" s="138"/>
      <c r="F25" s="138"/>
      <c r="G25" s="136" t="s">
        <v>244</v>
      </c>
    </row>
    <row r="26">
      <c r="A26" s="140">
        <v>13.0</v>
      </c>
      <c r="B26" s="146">
        <v>46006.0</v>
      </c>
      <c r="C26" s="136" t="s">
        <v>254</v>
      </c>
      <c r="D26" s="136">
        <v>20.0</v>
      </c>
      <c r="E26" s="138"/>
      <c r="F26" s="138"/>
      <c r="G26" s="138"/>
    </row>
    <row r="27">
      <c r="A27" s="9"/>
      <c r="B27" s="9"/>
      <c r="C27" s="136" t="s">
        <v>255</v>
      </c>
      <c r="D27" s="136">
        <v>40.0</v>
      </c>
      <c r="E27" s="138"/>
      <c r="F27" s="138"/>
      <c r="G27" s="138"/>
    </row>
    <row r="28">
      <c r="A28" s="140">
        <v>14.0</v>
      </c>
      <c r="B28" s="146">
        <v>46007.0</v>
      </c>
      <c r="C28" s="136" t="s">
        <v>256</v>
      </c>
      <c r="D28" s="136">
        <v>20.0</v>
      </c>
      <c r="E28" s="138"/>
      <c r="F28" s="138"/>
      <c r="G28" s="138"/>
    </row>
    <row r="29">
      <c r="A29" s="9"/>
      <c r="B29" s="9"/>
      <c r="C29" s="136" t="s">
        <v>257</v>
      </c>
      <c r="D29" s="136">
        <v>66.0</v>
      </c>
      <c r="E29" s="138"/>
      <c r="F29" s="138"/>
      <c r="G29" s="138"/>
    </row>
    <row r="30">
      <c r="A30" s="140">
        <v>15.0</v>
      </c>
      <c r="B30" s="146">
        <v>46008.0</v>
      </c>
      <c r="C30" s="142" t="s">
        <v>258</v>
      </c>
      <c r="D30" s="142">
        <v>36.0</v>
      </c>
      <c r="E30" s="138"/>
      <c r="F30" s="138"/>
      <c r="G30" s="138"/>
    </row>
    <row r="31">
      <c r="A31" s="9"/>
      <c r="B31" s="9"/>
      <c r="C31" s="142" t="s">
        <v>259</v>
      </c>
      <c r="D31" s="142">
        <v>70.0</v>
      </c>
      <c r="E31" s="138"/>
      <c r="F31" s="138"/>
      <c r="G31" s="138"/>
    </row>
    <row r="32">
      <c r="A32" s="140">
        <v>16.0</v>
      </c>
      <c r="B32" s="146">
        <v>46009.0</v>
      </c>
      <c r="C32" s="142" t="s">
        <v>260</v>
      </c>
      <c r="D32" s="142">
        <v>50.0</v>
      </c>
      <c r="E32" s="138"/>
      <c r="F32" s="138"/>
      <c r="G32" s="138"/>
    </row>
    <row r="33">
      <c r="A33" s="52"/>
      <c r="B33" s="52"/>
      <c r="C33" s="142" t="s">
        <v>261</v>
      </c>
      <c r="D33" s="142">
        <v>45.0</v>
      </c>
      <c r="E33" s="138"/>
      <c r="F33" s="138"/>
      <c r="G33" s="138"/>
    </row>
    <row r="34">
      <c r="A34" s="52"/>
      <c r="B34" s="52"/>
      <c r="C34" s="138" t="s">
        <v>262</v>
      </c>
      <c r="D34" s="142">
        <v>30.0</v>
      </c>
      <c r="E34" s="138"/>
      <c r="F34" s="138"/>
      <c r="G34" s="138"/>
    </row>
    <row r="35">
      <c r="A35" s="9"/>
      <c r="B35" s="9"/>
      <c r="C35" s="142" t="s">
        <v>263</v>
      </c>
      <c r="D35" s="142">
        <v>25.0</v>
      </c>
      <c r="E35" s="138"/>
      <c r="F35" s="138"/>
      <c r="G35" s="138"/>
    </row>
    <row r="36">
      <c r="A36" s="140">
        <v>17.0</v>
      </c>
      <c r="B36" s="146">
        <v>46010.0</v>
      </c>
      <c r="C36" s="142" t="s">
        <v>264</v>
      </c>
      <c r="D36" s="142">
        <v>30.0</v>
      </c>
      <c r="E36" s="138"/>
      <c r="F36" s="138"/>
      <c r="G36" s="138"/>
    </row>
    <row r="37">
      <c r="A37" s="52"/>
      <c r="B37" s="52"/>
      <c r="C37" s="142" t="s">
        <v>265</v>
      </c>
      <c r="D37" s="142">
        <v>36.0</v>
      </c>
      <c r="E37" s="138"/>
      <c r="F37" s="138"/>
      <c r="G37" s="138"/>
    </row>
    <row r="38">
      <c r="A38" s="52"/>
      <c r="B38" s="52"/>
      <c r="C38" s="142" t="s">
        <v>266</v>
      </c>
      <c r="D38" s="142">
        <v>25.0</v>
      </c>
      <c r="E38" s="138"/>
      <c r="F38" s="138"/>
      <c r="G38" s="138"/>
    </row>
    <row r="39">
      <c r="A39" s="52"/>
      <c r="B39" s="52"/>
      <c r="C39" s="142" t="s">
        <v>267</v>
      </c>
      <c r="D39" s="142">
        <v>25.0</v>
      </c>
      <c r="E39" s="138"/>
      <c r="F39" s="138"/>
      <c r="G39" s="138"/>
    </row>
    <row r="40">
      <c r="A40" s="9"/>
      <c r="B40" s="9"/>
      <c r="C40" s="142" t="s">
        <v>268</v>
      </c>
      <c r="D40" s="142">
        <v>20.0</v>
      </c>
      <c r="E40" s="138"/>
      <c r="F40" s="138"/>
      <c r="G40" s="138"/>
    </row>
    <row r="41">
      <c r="A41" s="140">
        <v>18.0</v>
      </c>
      <c r="B41" s="146">
        <v>46011.0</v>
      </c>
      <c r="C41" s="142" t="s">
        <v>269</v>
      </c>
      <c r="D41" s="142">
        <v>25.0</v>
      </c>
      <c r="E41" s="138"/>
      <c r="F41" s="138"/>
      <c r="G41" s="138"/>
    </row>
    <row r="42">
      <c r="A42" s="52"/>
      <c r="B42" s="52"/>
      <c r="C42" s="142" t="s">
        <v>270</v>
      </c>
      <c r="D42" s="142">
        <v>30.0</v>
      </c>
      <c r="E42" s="138"/>
      <c r="F42" s="138"/>
      <c r="G42" s="138"/>
    </row>
    <row r="43">
      <c r="A43" s="52"/>
      <c r="B43" s="52"/>
      <c r="C43" s="142" t="s">
        <v>271</v>
      </c>
      <c r="D43" s="142">
        <v>65.0</v>
      </c>
      <c r="E43" s="138"/>
      <c r="F43" s="138"/>
      <c r="G43" s="138"/>
    </row>
    <row r="44">
      <c r="A44" s="52"/>
      <c r="B44" s="52"/>
      <c r="C44" s="142" t="s">
        <v>272</v>
      </c>
      <c r="D44" s="142">
        <v>38.0</v>
      </c>
      <c r="E44" s="138"/>
      <c r="F44" s="138"/>
      <c r="G44" s="138"/>
    </row>
    <row r="45">
      <c r="A45" s="52"/>
      <c r="B45" s="52"/>
      <c r="C45" s="142" t="s">
        <v>273</v>
      </c>
      <c r="D45" s="142">
        <v>30.0</v>
      </c>
      <c r="E45" s="138"/>
      <c r="F45" s="138"/>
      <c r="G45" s="138"/>
    </row>
    <row r="46">
      <c r="A46" s="52"/>
      <c r="B46" s="52"/>
      <c r="C46" s="142" t="s">
        <v>274</v>
      </c>
      <c r="D46" s="142">
        <v>191.0</v>
      </c>
      <c r="E46" s="138"/>
      <c r="F46" s="138"/>
      <c r="G46" s="138"/>
    </row>
    <row r="47">
      <c r="A47" s="52"/>
      <c r="B47" s="52"/>
      <c r="C47" s="142" t="s">
        <v>275</v>
      </c>
      <c r="D47" s="142">
        <v>20.0</v>
      </c>
      <c r="E47" s="138"/>
      <c r="F47" s="138"/>
      <c r="G47" s="136" t="s">
        <v>244</v>
      </c>
    </row>
    <row r="48">
      <c r="A48" s="52"/>
      <c r="B48" s="52"/>
      <c r="C48" s="142" t="s">
        <v>276</v>
      </c>
      <c r="D48" s="142">
        <v>25.0</v>
      </c>
      <c r="E48" s="138"/>
      <c r="F48" s="138"/>
      <c r="G48" s="138"/>
    </row>
    <row r="49">
      <c r="A49" s="9"/>
      <c r="B49" s="9"/>
      <c r="C49" s="136" t="s">
        <v>277</v>
      </c>
      <c r="D49" s="136">
        <v>25.0</v>
      </c>
      <c r="E49" s="138"/>
      <c r="F49" s="138"/>
      <c r="G49" s="136" t="s">
        <v>244</v>
      </c>
    </row>
    <row r="50">
      <c r="A50" s="140">
        <v>19.0</v>
      </c>
      <c r="B50" s="146">
        <v>46013.0</v>
      </c>
      <c r="C50" s="142" t="s">
        <v>278</v>
      </c>
      <c r="D50" s="142">
        <v>41.0</v>
      </c>
      <c r="E50" s="138"/>
      <c r="F50" s="138"/>
      <c r="G50" s="136" t="s">
        <v>244</v>
      </c>
    </row>
    <row r="51">
      <c r="A51" s="52"/>
      <c r="B51" s="52"/>
      <c r="C51" s="142" t="s">
        <v>279</v>
      </c>
      <c r="D51" s="142">
        <v>25.0</v>
      </c>
      <c r="E51" s="138"/>
      <c r="F51" s="138"/>
      <c r="G51" s="138"/>
    </row>
    <row r="52">
      <c r="A52" s="52"/>
      <c r="B52" s="52"/>
      <c r="C52" s="142" t="s">
        <v>280</v>
      </c>
      <c r="D52" s="142">
        <v>37.0</v>
      </c>
      <c r="E52" s="138"/>
      <c r="F52" s="138"/>
      <c r="G52" s="138"/>
    </row>
    <row r="53">
      <c r="A53" s="52"/>
      <c r="B53" s="52"/>
      <c r="C53" s="142" t="s">
        <v>281</v>
      </c>
      <c r="D53" s="142">
        <v>94.0</v>
      </c>
      <c r="E53" s="138"/>
      <c r="F53" s="138"/>
      <c r="G53" s="138"/>
    </row>
    <row r="54">
      <c r="A54" s="9"/>
      <c r="B54" s="9"/>
      <c r="C54" s="142" t="s">
        <v>282</v>
      </c>
      <c r="D54" s="142">
        <v>41.0</v>
      </c>
      <c r="E54" s="138"/>
      <c r="F54" s="138"/>
      <c r="G54" s="138"/>
    </row>
    <row r="55">
      <c r="A55" s="140">
        <v>20.0</v>
      </c>
      <c r="B55" s="146">
        <v>46014.0</v>
      </c>
      <c r="C55" s="136" t="s">
        <v>283</v>
      </c>
      <c r="D55" s="136">
        <v>70.0</v>
      </c>
      <c r="E55" s="138"/>
      <c r="F55" s="138"/>
      <c r="G55" s="138"/>
    </row>
    <row r="56">
      <c r="A56" s="52"/>
      <c r="B56" s="52"/>
      <c r="C56" s="136" t="s">
        <v>284</v>
      </c>
      <c r="D56" s="136">
        <v>35.0</v>
      </c>
      <c r="E56" s="138"/>
      <c r="F56" s="138"/>
      <c r="G56" s="138"/>
    </row>
    <row r="57">
      <c r="A57" s="52"/>
      <c r="B57" s="52"/>
      <c r="C57" s="136" t="s">
        <v>285</v>
      </c>
      <c r="D57" s="136">
        <v>50.0</v>
      </c>
      <c r="E57" s="138"/>
      <c r="F57" s="138"/>
      <c r="G57" s="138"/>
    </row>
    <row r="58">
      <c r="A58" s="52"/>
      <c r="B58" s="52"/>
      <c r="C58" s="136" t="s">
        <v>286</v>
      </c>
      <c r="D58" s="136">
        <v>25.0</v>
      </c>
      <c r="E58" s="138"/>
      <c r="F58" s="138"/>
      <c r="G58" s="138"/>
    </row>
    <row r="59">
      <c r="A59" s="9"/>
      <c r="B59" s="9"/>
      <c r="C59" s="136" t="s">
        <v>287</v>
      </c>
      <c r="D59" s="136">
        <v>30.0</v>
      </c>
      <c r="E59" s="138"/>
      <c r="F59" s="138"/>
      <c r="G59" s="138"/>
    </row>
    <row r="60">
      <c r="A60" s="140">
        <v>21.0</v>
      </c>
      <c r="B60" s="146">
        <v>46015.0</v>
      </c>
      <c r="C60" s="136" t="s">
        <v>288</v>
      </c>
      <c r="D60" s="136">
        <v>40.0</v>
      </c>
      <c r="E60" s="138"/>
      <c r="F60" s="138"/>
      <c r="G60" s="138"/>
    </row>
    <row r="61">
      <c r="A61" s="52"/>
      <c r="B61" s="52"/>
      <c r="C61" s="136" t="s">
        <v>289</v>
      </c>
      <c r="D61" s="136">
        <v>25.0</v>
      </c>
      <c r="E61" s="138"/>
      <c r="F61" s="138"/>
      <c r="G61" s="138"/>
    </row>
    <row r="62">
      <c r="A62" s="9"/>
      <c r="B62" s="9"/>
      <c r="C62" s="136" t="s">
        <v>290</v>
      </c>
      <c r="D62" s="136">
        <v>237.0</v>
      </c>
      <c r="E62" s="138"/>
      <c r="F62" s="138"/>
      <c r="G62" s="138"/>
    </row>
    <row r="63">
      <c r="A63" s="140">
        <v>22.0</v>
      </c>
      <c r="B63" s="146">
        <v>46016.0</v>
      </c>
      <c r="C63" s="138" t="s">
        <v>291</v>
      </c>
      <c r="D63" s="138">
        <v>20.0</v>
      </c>
      <c r="E63" s="138"/>
      <c r="F63" s="138"/>
      <c r="G63" s="138"/>
    </row>
    <row r="64">
      <c r="A64" s="52"/>
      <c r="B64" s="52"/>
      <c r="C64" s="138" t="s">
        <v>292</v>
      </c>
      <c r="D64" s="138">
        <v>79.0</v>
      </c>
      <c r="E64" s="138"/>
      <c r="F64" s="138"/>
      <c r="G64" s="138"/>
    </row>
    <row r="65">
      <c r="A65" s="9"/>
      <c r="B65" s="9"/>
      <c r="C65" s="138" t="s">
        <v>293</v>
      </c>
      <c r="D65" s="138">
        <v>35.0</v>
      </c>
      <c r="E65" s="138"/>
      <c r="F65" s="138"/>
      <c r="G65" s="138"/>
    </row>
    <row r="66">
      <c r="A66" s="140">
        <v>23.0</v>
      </c>
      <c r="B66" s="146">
        <v>46017.0</v>
      </c>
      <c r="C66" s="138" t="s">
        <v>294</v>
      </c>
      <c r="D66" s="142">
        <v>21.0</v>
      </c>
      <c r="E66" s="138"/>
      <c r="F66" s="138"/>
      <c r="G66" s="138"/>
    </row>
    <row r="67">
      <c r="A67" s="52"/>
      <c r="B67" s="52"/>
      <c r="C67" s="142" t="s">
        <v>295</v>
      </c>
      <c r="D67" s="142">
        <v>25.0</v>
      </c>
      <c r="E67" s="138"/>
      <c r="F67" s="138"/>
      <c r="G67" s="138"/>
    </row>
    <row r="68">
      <c r="A68" s="52"/>
      <c r="B68" s="52"/>
      <c r="C68" s="142" t="s">
        <v>296</v>
      </c>
      <c r="D68" s="142">
        <v>20.0</v>
      </c>
      <c r="E68" s="138"/>
      <c r="F68" s="138"/>
      <c r="G68" s="138"/>
    </row>
    <row r="69">
      <c r="A69" s="52"/>
      <c r="B69" s="52"/>
      <c r="C69" s="142" t="s">
        <v>297</v>
      </c>
      <c r="D69" s="142">
        <v>35.0</v>
      </c>
      <c r="E69" s="138"/>
      <c r="F69" s="138"/>
      <c r="G69" s="138"/>
    </row>
    <row r="70">
      <c r="A70" s="52"/>
      <c r="B70" s="52"/>
      <c r="C70" s="142" t="s">
        <v>298</v>
      </c>
      <c r="D70" s="142">
        <v>20.0</v>
      </c>
      <c r="E70" s="138"/>
      <c r="F70" s="138"/>
      <c r="G70" s="138"/>
    </row>
    <row r="71">
      <c r="A71" s="52"/>
      <c r="B71" s="52"/>
      <c r="C71" s="138" t="s">
        <v>299</v>
      </c>
      <c r="D71" s="142">
        <v>20.0</v>
      </c>
      <c r="E71" s="138"/>
      <c r="F71" s="138"/>
      <c r="G71" s="138"/>
    </row>
    <row r="72">
      <c r="A72" s="9"/>
      <c r="B72" s="9"/>
      <c r="C72" s="136" t="s">
        <v>300</v>
      </c>
      <c r="D72" s="136">
        <v>25.0</v>
      </c>
      <c r="E72" s="138"/>
      <c r="F72" s="138"/>
      <c r="G72" s="138"/>
    </row>
    <row r="73">
      <c r="A73" s="140">
        <v>24.0</v>
      </c>
      <c r="B73" s="146">
        <v>46018.0</v>
      </c>
      <c r="C73" s="142" t="s">
        <v>301</v>
      </c>
      <c r="D73" s="142">
        <v>25.0</v>
      </c>
      <c r="E73" s="138"/>
      <c r="F73" s="138"/>
      <c r="G73" s="138"/>
    </row>
    <row r="74">
      <c r="A74" s="52"/>
      <c r="B74" s="52"/>
      <c r="C74" s="142" t="s">
        <v>302</v>
      </c>
      <c r="D74" s="142">
        <v>40.0</v>
      </c>
      <c r="E74" s="138"/>
      <c r="F74" s="138"/>
      <c r="G74" s="138"/>
    </row>
    <row r="75">
      <c r="A75" s="52"/>
      <c r="B75" s="52"/>
      <c r="C75" s="142" t="s">
        <v>303</v>
      </c>
      <c r="D75" s="142">
        <v>20.0</v>
      </c>
      <c r="E75" s="138"/>
      <c r="F75" s="138"/>
      <c r="G75" s="138"/>
    </row>
    <row r="76">
      <c r="A76" s="52"/>
      <c r="B76" s="52"/>
      <c r="C76" s="138" t="s">
        <v>304</v>
      </c>
      <c r="D76" s="142">
        <v>150.0</v>
      </c>
      <c r="E76" s="138"/>
      <c r="F76" s="138"/>
      <c r="G76" s="138"/>
    </row>
    <row r="77">
      <c r="A77" s="52"/>
      <c r="B77" s="52"/>
      <c r="C77" s="142" t="s">
        <v>305</v>
      </c>
      <c r="D77" s="142">
        <v>30.0</v>
      </c>
      <c r="E77" s="138"/>
      <c r="F77" s="138"/>
      <c r="G77" s="138"/>
    </row>
    <row r="78">
      <c r="A78" s="52"/>
      <c r="B78" s="52"/>
      <c r="C78" s="142" t="s">
        <v>306</v>
      </c>
      <c r="D78" s="142">
        <v>94.0</v>
      </c>
      <c r="E78" s="138"/>
      <c r="F78" s="138"/>
      <c r="G78" s="138"/>
    </row>
    <row r="79">
      <c r="A79" s="9"/>
      <c r="B79" s="9"/>
      <c r="C79" s="136" t="s">
        <v>307</v>
      </c>
      <c r="D79" s="136">
        <v>25.0</v>
      </c>
      <c r="E79" s="138"/>
      <c r="F79" s="138"/>
      <c r="G79" s="138"/>
    </row>
    <row r="80">
      <c r="A80" s="140">
        <v>25.0</v>
      </c>
      <c r="B80" s="146">
        <v>46020.0</v>
      </c>
      <c r="C80" s="142" t="s">
        <v>308</v>
      </c>
      <c r="D80" s="142">
        <v>35.0</v>
      </c>
      <c r="E80" s="138"/>
      <c r="F80" s="138"/>
      <c r="G80" s="138"/>
    </row>
    <row r="81">
      <c r="A81" s="52"/>
      <c r="B81" s="52"/>
      <c r="C81" s="142" t="s">
        <v>309</v>
      </c>
      <c r="D81" s="142">
        <v>20.0</v>
      </c>
      <c r="E81" s="138"/>
      <c r="F81" s="138"/>
      <c r="G81" s="138"/>
    </row>
    <row r="82">
      <c r="A82" s="52"/>
      <c r="B82" s="52"/>
      <c r="C82" s="142" t="s">
        <v>310</v>
      </c>
      <c r="D82" s="142">
        <v>25.0</v>
      </c>
      <c r="E82" s="138"/>
      <c r="F82" s="138"/>
      <c r="G82" s="138"/>
    </row>
    <row r="83">
      <c r="A83" s="52"/>
      <c r="B83" s="52"/>
      <c r="C83" s="142" t="s">
        <v>311</v>
      </c>
      <c r="D83" s="142">
        <v>25.0</v>
      </c>
      <c r="E83" s="138"/>
      <c r="F83" s="138"/>
      <c r="G83" s="138"/>
    </row>
    <row r="84">
      <c r="A84" s="52"/>
      <c r="B84" s="52"/>
      <c r="C84" s="142" t="s">
        <v>312</v>
      </c>
      <c r="D84" s="142">
        <v>42.0</v>
      </c>
      <c r="E84" s="138"/>
      <c r="F84" s="138"/>
      <c r="G84" s="138"/>
    </row>
    <row r="85">
      <c r="A85" s="52"/>
      <c r="B85" s="52"/>
      <c r="C85" s="142" t="s">
        <v>313</v>
      </c>
      <c r="D85" s="142">
        <v>25.0</v>
      </c>
      <c r="E85" s="138"/>
      <c r="F85" s="138"/>
      <c r="G85" s="138"/>
    </row>
    <row r="86">
      <c r="A86" s="9"/>
      <c r="B86" s="9"/>
      <c r="C86" s="136" t="s">
        <v>314</v>
      </c>
      <c r="D86" s="136">
        <v>59.0</v>
      </c>
      <c r="E86" s="138"/>
      <c r="F86" s="138"/>
      <c r="G86" s="138"/>
    </row>
    <row r="87">
      <c r="A87" s="140">
        <v>26.0</v>
      </c>
      <c r="B87" s="146">
        <v>46021.0</v>
      </c>
      <c r="C87" s="136" t="s">
        <v>315</v>
      </c>
      <c r="D87" s="136">
        <v>25.0</v>
      </c>
      <c r="E87" s="138"/>
      <c r="F87" s="138"/>
      <c r="G87" s="138"/>
    </row>
    <row r="88">
      <c r="A88" s="52"/>
      <c r="B88" s="52"/>
      <c r="C88" s="136" t="s">
        <v>316</v>
      </c>
      <c r="D88" s="136">
        <v>25.0</v>
      </c>
      <c r="E88" s="138"/>
      <c r="F88" s="138"/>
      <c r="G88" s="138"/>
    </row>
    <row r="89">
      <c r="A89" s="52"/>
      <c r="B89" s="52"/>
      <c r="C89" s="136" t="s">
        <v>317</v>
      </c>
      <c r="D89" s="136">
        <v>41.0</v>
      </c>
      <c r="E89" s="138"/>
      <c r="F89" s="138"/>
      <c r="G89" s="138"/>
    </row>
    <row r="90">
      <c r="A90" s="52"/>
      <c r="B90" s="52"/>
      <c r="C90" s="136" t="s">
        <v>318</v>
      </c>
      <c r="D90" s="136">
        <v>31.0</v>
      </c>
      <c r="E90" s="138"/>
      <c r="F90" s="138"/>
      <c r="G90" s="138"/>
    </row>
    <row r="91">
      <c r="A91" s="52"/>
      <c r="B91" s="52"/>
      <c r="C91" s="136" t="s">
        <v>319</v>
      </c>
      <c r="D91" s="136">
        <v>25.0</v>
      </c>
      <c r="E91" s="138"/>
      <c r="F91" s="138"/>
      <c r="G91" s="138"/>
    </row>
    <row r="92">
      <c r="A92" s="52"/>
      <c r="B92" s="52"/>
      <c r="C92" s="136" t="s">
        <v>320</v>
      </c>
      <c r="D92" s="136">
        <v>20.0</v>
      </c>
      <c r="E92" s="138"/>
      <c r="F92" s="138"/>
      <c r="G92" s="138"/>
    </row>
    <row r="93">
      <c r="A93" s="9"/>
      <c r="B93" s="9"/>
      <c r="C93" s="136" t="s">
        <v>321</v>
      </c>
      <c r="D93" s="136">
        <v>49.0</v>
      </c>
      <c r="E93" s="138"/>
      <c r="F93" s="138"/>
      <c r="G93" s="138"/>
    </row>
    <row r="94">
      <c r="A94" s="140">
        <v>27.0</v>
      </c>
      <c r="B94" s="146">
        <v>46022.0</v>
      </c>
      <c r="C94" s="138" t="s">
        <v>322</v>
      </c>
      <c r="D94" s="138">
        <v>49.0</v>
      </c>
      <c r="E94" s="138"/>
      <c r="F94" s="138"/>
      <c r="G94" s="138"/>
    </row>
    <row r="95">
      <c r="A95" s="52"/>
      <c r="B95" s="52"/>
      <c r="C95" s="138" t="s">
        <v>323</v>
      </c>
      <c r="D95" s="142">
        <v>25.0</v>
      </c>
      <c r="E95" s="138"/>
      <c r="F95" s="138"/>
      <c r="G95" s="138"/>
    </row>
    <row r="96">
      <c r="A96" s="52"/>
      <c r="B96" s="52"/>
      <c r="C96" s="138" t="s">
        <v>324</v>
      </c>
      <c r="D96" s="142">
        <v>20.0</v>
      </c>
      <c r="E96" s="138"/>
      <c r="F96" s="138"/>
      <c r="G96" s="138"/>
    </row>
    <row r="97">
      <c r="A97" s="52"/>
      <c r="B97" s="52"/>
      <c r="C97" s="138" t="s">
        <v>325</v>
      </c>
      <c r="D97" s="142">
        <v>20.0</v>
      </c>
      <c r="E97" s="138"/>
      <c r="F97" s="138"/>
      <c r="G97" s="138"/>
    </row>
    <row r="98">
      <c r="A98" s="52"/>
      <c r="B98" s="52"/>
      <c r="C98" s="138" t="s">
        <v>326</v>
      </c>
      <c r="D98" s="142">
        <v>25.0</v>
      </c>
      <c r="E98" s="138"/>
      <c r="F98" s="138"/>
      <c r="G98" s="138"/>
    </row>
    <row r="99">
      <c r="A99" s="52"/>
      <c r="B99" s="52"/>
      <c r="C99" s="138" t="s">
        <v>327</v>
      </c>
      <c r="D99" s="142">
        <v>40.0</v>
      </c>
      <c r="E99" s="138"/>
      <c r="F99" s="138"/>
      <c r="G99" s="138"/>
    </row>
    <row r="100">
      <c r="A100" s="9"/>
      <c r="B100" s="9"/>
      <c r="C100" s="136" t="s">
        <v>328</v>
      </c>
      <c r="D100" s="136">
        <v>239.0</v>
      </c>
      <c r="E100" s="138"/>
      <c r="F100" s="138"/>
      <c r="G100" s="138"/>
    </row>
    <row r="101">
      <c r="A101" s="147">
        <v>28.0</v>
      </c>
      <c r="B101" s="148">
        <v>46024.0</v>
      </c>
      <c r="C101" s="149" t="s">
        <v>329</v>
      </c>
      <c r="D101" s="149">
        <v>25.0</v>
      </c>
      <c r="E101" s="150"/>
      <c r="F101" s="150"/>
      <c r="G101" s="150"/>
    </row>
    <row r="102">
      <c r="A102" s="9"/>
      <c r="B102" s="9"/>
      <c r="C102" s="149" t="s">
        <v>330</v>
      </c>
      <c r="D102" s="149">
        <v>70.0</v>
      </c>
      <c r="E102" s="150"/>
      <c r="F102" s="150"/>
      <c r="G102" s="150"/>
    </row>
    <row r="103">
      <c r="A103" s="140">
        <v>29.0</v>
      </c>
      <c r="B103" s="141">
        <v>46025.0</v>
      </c>
      <c r="C103" s="142" t="s">
        <v>331</v>
      </c>
      <c r="D103" s="142">
        <v>20.0</v>
      </c>
      <c r="E103" s="138"/>
      <c r="F103" s="138"/>
      <c r="G103" s="138"/>
    </row>
    <row r="104">
      <c r="A104" s="52"/>
      <c r="B104" s="52"/>
      <c r="C104" s="142" t="s">
        <v>332</v>
      </c>
      <c r="D104" s="142">
        <v>25.0</v>
      </c>
      <c r="E104" s="138"/>
      <c r="F104" s="138"/>
      <c r="G104" s="138"/>
    </row>
    <row r="105">
      <c r="A105" s="9"/>
      <c r="B105" s="9"/>
      <c r="C105" s="142" t="s">
        <v>329</v>
      </c>
      <c r="D105" s="142">
        <v>20.0</v>
      </c>
      <c r="E105" s="138"/>
      <c r="F105" s="138"/>
      <c r="G105" s="138"/>
    </row>
    <row r="106">
      <c r="A106" s="136">
        <v>30.0</v>
      </c>
      <c r="B106" s="151">
        <v>46026.0</v>
      </c>
      <c r="C106" s="142" t="s">
        <v>333</v>
      </c>
      <c r="D106" s="142">
        <v>20.0</v>
      </c>
      <c r="E106" s="138"/>
      <c r="F106" s="138"/>
      <c r="G106" s="138"/>
    </row>
    <row r="107">
      <c r="A107" s="140">
        <v>31.0</v>
      </c>
      <c r="B107" s="152">
        <v>46027.0</v>
      </c>
      <c r="C107" s="142" t="s">
        <v>334</v>
      </c>
      <c r="D107" s="142">
        <v>30.0</v>
      </c>
      <c r="E107" s="138"/>
      <c r="F107" s="138"/>
      <c r="G107" s="138"/>
    </row>
    <row r="108">
      <c r="A108" s="9"/>
      <c r="B108" s="9"/>
      <c r="C108" s="138" t="s">
        <v>335</v>
      </c>
      <c r="D108" s="142">
        <v>45.0</v>
      </c>
      <c r="E108" s="138"/>
      <c r="F108" s="138"/>
      <c r="G108" s="138"/>
    </row>
    <row r="109">
      <c r="A109" s="136">
        <v>32.0</v>
      </c>
      <c r="B109" s="151">
        <v>46028.0</v>
      </c>
      <c r="C109" s="142" t="s">
        <v>336</v>
      </c>
      <c r="D109" s="142">
        <v>20.0</v>
      </c>
      <c r="E109" s="138"/>
      <c r="F109" s="138"/>
      <c r="G109" s="138"/>
    </row>
    <row r="110">
      <c r="A110" s="140">
        <v>33.0</v>
      </c>
      <c r="B110" s="152">
        <v>46029.0</v>
      </c>
      <c r="C110" s="142" t="s">
        <v>337</v>
      </c>
      <c r="D110" s="142">
        <v>20.0</v>
      </c>
      <c r="E110" s="138"/>
      <c r="F110" s="138"/>
      <c r="G110" s="138"/>
    </row>
    <row r="111">
      <c r="A111" s="9"/>
      <c r="B111" s="9"/>
      <c r="C111" s="142" t="s">
        <v>338</v>
      </c>
      <c r="D111" s="142">
        <v>30.0</v>
      </c>
      <c r="E111" s="138"/>
      <c r="F111" s="138"/>
      <c r="G111" s="138"/>
    </row>
    <row r="112">
      <c r="A112" s="140">
        <v>34.0</v>
      </c>
      <c r="B112" s="152">
        <v>46030.0</v>
      </c>
      <c r="C112" s="142" t="s">
        <v>339</v>
      </c>
      <c r="D112" s="142">
        <v>25.0</v>
      </c>
      <c r="E112" s="138"/>
      <c r="F112" s="138"/>
      <c r="G112" s="138"/>
    </row>
    <row r="113">
      <c r="A113" s="52"/>
      <c r="B113" s="52"/>
      <c r="C113" s="142" t="s">
        <v>340</v>
      </c>
      <c r="D113" s="142">
        <v>36.0</v>
      </c>
      <c r="E113" s="138"/>
      <c r="F113" s="138"/>
      <c r="G113" s="138"/>
    </row>
    <row r="114">
      <c r="A114" s="52"/>
      <c r="B114" s="52"/>
      <c r="C114" s="142" t="s">
        <v>341</v>
      </c>
      <c r="D114" s="142">
        <v>25.0</v>
      </c>
      <c r="E114" s="138"/>
      <c r="F114" s="138"/>
      <c r="G114" s="138"/>
    </row>
    <row r="115">
      <c r="A115" s="9"/>
      <c r="B115" s="9"/>
      <c r="C115" s="142" t="s">
        <v>342</v>
      </c>
      <c r="D115" s="142">
        <v>25.0</v>
      </c>
      <c r="E115" s="138"/>
      <c r="F115" s="138"/>
      <c r="G115" s="138"/>
    </row>
    <row r="116">
      <c r="A116" s="136">
        <v>35.0</v>
      </c>
      <c r="B116" s="151">
        <v>46031.0</v>
      </c>
      <c r="C116" s="142" t="s">
        <v>343</v>
      </c>
      <c r="D116" s="142">
        <v>25.0</v>
      </c>
      <c r="E116" s="138"/>
      <c r="F116" s="138"/>
      <c r="G116" s="138"/>
    </row>
    <row r="117">
      <c r="A117" s="140">
        <v>36.0</v>
      </c>
      <c r="B117" s="152">
        <v>46032.0</v>
      </c>
      <c r="C117" s="138" t="s">
        <v>344</v>
      </c>
      <c r="D117" s="142">
        <v>40.0</v>
      </c>
      <c r="E117" s="138"/>
      <c r="F117" s="138"/>
      <c r="G117" s="138"/>
    </row>
    <row r="118">
      <c r="A118" s="52"/>
      <c r="B118" s="52"/>
      <c r="C118" s="142" t="s">
        <v>345</v>
      </c>
      <c r="D118" s="142">
        <v>25.0</v>
      </c>
      <c r="E118" s="138"/>
      <c r="F118" s="138"/>
      <c r="G118" s="138"/>
    </row>
    <row r="119">
      <c r="A119" s="9"/>
      <c r="B119" s="9"/>
      <c r="C119" s="142" t="s">
        <v>346</v>
      </c>
      <c r="D119" s="142">
        <v>25.0</v>
      </c>
      <c r="E119" s="138"/>
      <c r="F119" s="138"/>
      <c r="G119" s="138"/>
    </row>
    <row r="120">
      <c r="A120" s="136">
        <v>37.0</v>
      </c>
      <c r="B120" s="153">
        <v>46033.0</v>
      </c>
      <c r="C120" s="142" t="s">
        <v>347</v>
      </c>
      <c r="D120" s="142">
        <v>39.0</v>
      </c>
      <c r="E120" s="138"/>
      <c r="F120" s="138"/>
      <c r="G120" s="138"/>
    </row>
    <row r="121">
      <c r="A121" s="140">
        <v>38.0</v>
      </c>
      <c r="B121" s="141">
        <v>46035.0</v>
      </c>
      <c r="C121" s="142" t="s">
        <v>348</v>
      </c>
      <c r="D121" s="142">
        <v>50.0</v>
      </c>
      <c r="E121" s="138"/>
      <c r="F121" s="138"/>
      <c r="G121" s="138"/>
    </row>
    <row r="122">
      <c r="A122" s="52"/>
      <c r="B122" s="52"/>
      <c r="C122" s="142" t="s">
        <v>349</v>
      </c>
      <c r="D122" s="142">
        <v>29.0</v>
      </c>
      <c r="E122" s="138"/>
      <c r="F122" s="138"/>
      <c r="G122" s="138"/>
    </row>
    <row r="123">
      <c r="A123" s="9"/>
      <c r="B123" s="9"/>
      <c r="C123" s="142" t="s">
        <v>350</v>
      </c>
      <c r="D123" s="142">
        <v>20.0</v>
      </c>
      <c r="E123" s="138"/>
      <c r="F123" s="138"/>
      <c r="G123" s="138"/>
    </row>
    <row r="124">
      <c r="A124" s="140">
        <v>39.0</v>
      </c>
      <c r="B124" s="152">
        <v>46036.0</v>
      </c>
      <c r="C124" s="154" t="s">
        <v>340</v>
      </c>
      <c r="D124" s="154">
        <v>20.0</v>
      </c>
      <c r="E124" s="138"/>
      <c r="F124" s="138"/>
      <c r="G124" s="138"/>
    </row>
    <row r="125">
      <c r="A125" s="52"/>
      <c r="B125" s="52"/>
      <c r="C125" s="154" t="s">
        <v>351</v>
      </c>
      <c r="D125" s="154">
        <v>30.0</v>
      </c>
      <c r="E125" s="138"/>
      <c r="F125" s="138"/>
      <c r="G125" s="138"/>
    </row>
    <row r="126">
      <c r="A126" s="9"/>
      <c r="B126" s="9"/>
      <c r="C126" s="145" t="s">
        <v>352</v>
      </c>
      <c r="D126" s="145">
        <v>26.0</v>
      </c>
      <c r="E126" s="138"/>
      <c r="F126" s="138"/>
      <c r="G126" s="138"/>
    </row>
    <row r="127">
      <c r="A127" s="140">
        <v>40.0</v>
      </c>
      <c r="B127" s="152">
        <v>46037.0</v>
      </c>
      <c r="C127" s="142" t="s">
        <v>353</v>
      </c>
      <c r="D127" s="142">
        <v>27.0</v>
      </c>
      <c r="E127" s="138"/>
      <c r="F127" s="138"/>
      <c r="G127" s="138"/>
    </row>
    <row r="128">
      <c r="A128" s="9"/>
      <c r="B128" s="9"/>
      <c r="C128" s="142" t="s">
        <v>354</v>
      </c>
      <c r="D128" s="142">
        <v>41.0</v>
      </c>
      <c r="E128" s="138"/>
      <c r="F128" s="138"/>
      <c r="G128" s="138"/>
    </row>
    <row r="129">
      <c r="A129" s="140">
        <v>41.0</v>
      </c>
      <c r="B129" s="152">
        <v>46038.0</v>
      </c>
      <c r="C129" s="142" t="s">
        <v>355</v>
      </c>
      <c r="D129" s="142">
        <v>20.0</v>
      </c>
      <c r="E129" s="138"/>
      <c r="F129" s="138"/>
      <c r="G129" s="138"/>
    </row>
    <row r="130">
      <c r="A130" s="52"/>
      <c r="B130" s="52"/>
      <c r="C130" s="142" t="s">
        <v>356</v>
      </c>
      <c r="D130" s="142">
        <v>50.0</v>
      </c>
      <c r="E130" s="138"/>
      <c r="F130" s="138"/>
      <c r="G130" s="138"/>
    </row>
    <row r="131">
      <c r="A131" s="52"/>
      <c r="B131" s="52"/>
      <c r="C131" s="142" t="s">
        <v>357</v>
      </c>
      <c r="D131" s="142">
        <v>20.0</v>
      </c>
      <c r="E131" s="138"/>
      <c r="F131" s="138"/>
      <c r="G131" s="138"/>
    </row>
    <row r="132">
      <c r="A132" s="9"/>
      <c r="B132" s="9"/>
      <c r="C132" s="142" t="s">
        <v>358</v>
      </c>
      <c r="D132" s="142">
        <v>23.0</v>
      </c>
      <c r="E132" s="138"/>
      <c r="F132" s="138"/>
      <c r="G132" s="138"/>
    </row>
    <row r="133">
      <c r="A133" s="140">
        <v>42.0</v>
      </c>
      <c r="B133" s="152">
        <v>46039.0</v>
      </c>
      <c r="C133" s="142" t="s">
        <v>359</v>
      </c>
      <c r="D133" s="142">
        <v>38.0</v>
      </c>
      <c r="E133" s="138"/>
      <c r="F133" s="138"/>
      <c r="G133" s="138"/>
    </row>
    <row r="134">
      <c r="A134" s="52"/>
      <c r="B134" s="52"/>
      <c r="C134" s="142" t="s">
        <v>360</v>
      </c>
      <c r="D134" s="142">
        <v>25.0</v>
      </c>
      <c r="E134" s="138"/>
      <c r="F134" s="138"/>
      <c r="G134" s="138"/>
    </row>
    <row r="135">
      <c r="A135" s="52"/>
      <c r="B135" s="52"/>
      <c r="C135" s="142" t="s">
        <v>361</v>
      </c>
      <c r="D135" s="142">
        <v>20.0</v>
      </c>
      <c r="E135" s="138"/>
      <c r="F135" s="138"/>
      <c r="G135" s="138"/>
    </row>
    <row r="136">
      <c r="A136" s="52"/>
      <c r="B136" s="52"/>
      <c r="C136" s="142" t="s">
        <v>362</v>
      </c>
      <c r="D136" s="142">
        <v>45.0</v>
      </c>
      <c r="E136" s="138"/>
      <c r="F136" s="138"/>
      <c r="G136" s="138"/>
    </row>
    <row r="137">
      <c r="A137" s="52"/>
      <c r="B137" s="52"/>
      <c r="C137" s="142" t="s">
        <v>363</v>
      </c>
      <c r="D137" s="142">
        <v>25.0</v>
      </c>
      <c r="E137" s="138"/>
      <c r="F137" s="138"/>
      <c r="G137" s="138"/>
    </row>
    <row r="138">
      <c r="A138" s="52"/>
      <c r="B138" s="52"/>
      <c r="C138" s="136" t="s">
        <v>364</v>
      </c>
      <c r="D138" s="136">
        <v>100.0</v>
      </c>
      <c r="E138" s="138"/>
      <c r="F138" s="138"/>
      <c r="G138" s="138"/>
    </row>
    <row r="139">
      <c r="A139" s="9"/>
      <c r="B139" s="9"/>
      <c r="C139" s="136" t="s">
        <v>365</v>
      </c>
      <c r="D139" s="136">
        <v>172.0</v>
      </c>
      <c r="E139" s="138"/>
      <c r="F139" s="138"/>
      <c r="G139" s="138"/>
    </row>
    <row r="140">
      <c r="A140" s="136">
        <v>43.0</v>
      </c>
      <c r="B140" s="139">
        <v>46040.0</v>
      </c>
      <c r="C140" s="145" t="s">
        <v>366</v>
      </c>
      <c r="D140" s="145">
        <v>35.0</v>
      </c>
      <c r="E140" s="138"/>
      <c r="F140" s="138"/>
      <c r="G140" s="138"/>
    </row>
    <row r="141">
      <c r="A141" s="140">
        <v>44.0</v>
      </c>
      <c r="B141" s="141">
        <v>46041.0</v>
      </c>
      <c r="C141" s="155" t="s">
        <v>367</v>
      </c>
      <c r="D141" s="155">
        <v>25.0</v>
      </c>
      <c r="E141" s="138"/>
      <c r="F141" s="138"/>
      <c r="G141" s="138"/>
    </row>
    <row r="142">
      <c r="A142" s="52"/>
      <c r="B142" s="52"/>
      <c r="C142" s="155" t="s">
        <v>368</v>
      </c>
      <c r="D142" s="155">
        <v>25.0</v>
      </c>
      <c r="E142" s="138"/>
      <c r="F142" s="138"/>
      <c r="G142" s="138"/>
    </row>
    <row r="143">
      <c r="A143" s="9"/>
      <c r="B143" s="9"/>
      <c r="C143" s="136" t="s">
        <v>369</v>
      </c>
      <c r="D143" s="155">
        <v>25.0</v>
      </c>
      <c r="E143" s="138"/>
      <c r="F143" s="138"/>
      <c r="G143" s="138"/>
    </row>
    <row r="144">
      <c r="A144" s="140">
        <v>45.0</v>
      </c>
      <c r="B144" s="141">
        <v>46042.0</v>
      </c>
      <c r="C144" s="155" t="s">
        <v>370</v>
      </c>
      <c r="D144" s="155">
        <v>22.0</v>
      </c>
      <c r="E144" s="138"/>
      <c r="F144" s="138"/>
      <c r="G144" s="138"/>
    </row>
    <row r="145">
      <c r="A145" s="52"/>
      <c r="B145" s="52"/>
      <c r="C145" s="155" t="s">
        <v>371</v>
      </c>
      <c r="D145" s="155">
        <v>15.0</v>
      </c>
      <c r="E145" s="138"/>
      <c r="F145" s="138"/>
      <c r="G145" s="138"/>
    </row>
    <row r="146">
      <c r="A146" s="9"/>
      <c r="B146" s="9"/>
      <c r="C146" s="155" t="s">
        <v>372</v>
      </c>
      <c r="D146" s="155">
        <v>42.0</v>
      </c>
      <c r="E146" s="138"/>
      <c r="F146" s="138"/>
      <c r="G146" s="138"/>
    </row>
    <row r="147">
      <c r="A147" s="140">
        <v>46.0</v>
      </c>
      <c r="B147" s="141">
        <v>46043.0</v>
      </c>
      <c r="C147" s="155" t="s">
        <v>373</v>
      </c>
      <c r="D147" s="155">
        <v>25.0</v>
      </c>
      <c r="E147" s="138"/>
      <c r="F147" s="138"/>
      <c r="G147" s="138"/>
    </row>
    <row r="148">
      <c r="A148" s="52"/>
      <c r="B148" s="52"/>
      <c r="C148" s="155" t="s">
        <v>374</v>
      </c>
      <c r="D148" s="155">
        <v>41.0</v>
      </c>
      <c r="E148" s="138"/>
      <c r="F148" s="138"/>
      <c r="G148" s="138"/>
    </row>
    <row r="149">
      <c r="A149" s="9"/>
      <c r="B149" s="9"/>
      <c r="C149" s="155" t="s">
        <v>375</v>
      </c>
      <c r="D149" s="155">
        <v>23.0</v>
      </c>
      <c r="E149" s="138"/>
      <c r="F149" s="138"/>
      <c r="G149" s="138"/>
    </row>
    <row r="150">
      <c r="A150" s="140">
        <v>47.0</v>
      </c>
      <c r="B150" s="152">
        <v>46044.0</v>
      </c>
      <c r="C150" s="155" t="s">
        <v>376</v>
      </c>
      <c r="D150" s="155">
        <v>306.0</v>
      </c>
      <c r="E150" s="138"/>
      <c r="F150" s="138"/>
      <c r="G150" s="138"/>
    </row>
    <row r="151">
      <c r="A151" s="52"/>
      <c r="B151" s="52"/>
      <c r="C151" s="155" t="s">
        <v>377</v>
      </c>
      <c r="D151" s="155">
        <v>20.0</v>
      </c>
      <c r="E151" s="138"/>
      <c r="F151" s="138"/>
      <c r="G151" s="138"/>
    </row>
    <row r="152">
      <c r="A152" s="9"/>
      <c r="B152" s="9"/>
      <c r="C152" s="155" t="s">
        <v>378</v>
      </c>
      <c r="D152" s="155">
        <v>53.0</v>
      </c>
      <c r="E152" s="138"/>
      <c r="F152" s="138"/>
      <c r="G152" s="138"/>
    </row>
    <row r="153">
      <c r="A153" s="140">
        <v>48.0</v>
      </c>
      <c r="B153" s="152">
        <v>46045.0</v>
      </c>
      <c r="C153" s="155" t="s">
        <v>379</v>
      </c>
      <c r="D153" s="155">
        <v>25.0</v>
      </c>
      <c r="E153" s="138"/>
      <c r="F153" s="138"/>
      <c r="G153" s="138"/>
    </row>
    <row r="154">
      <c r="A154" s="52"/>
      <c r="B154" s="52"/>
      <c r="C154" s="155" t="s">
        <v>380</v>
      </c>
      <c r="D154" s="155">
        <v>20.0</v>
      </c>
      <c r="E154" s="138"/>
      <c r="F154" s="138"/>
      <c r="G154" s="138"/>
    </row>
    <row r="155">
      <c r="A155" s="52"/>
      <c r="B155" s="52"/>
      <c r="C155" s="155" t="s">
        <v>381</v>
      </c>
      <c r="D155" s="155">
        <v>44.0</v>
      </c>
      <c r="E155" s="138"/>
      <c r="F155" s="138"/>
      <c r="G155" s="138"/>
    </row>
    <row r="156">
      <c r="A156" s="9"/>
      <c r="B156" s="9"/>
      <c r="C156" s="145" t="s">
        <v>382</v>
      </c>
      <c r="D156" s="145">
        <v>20.0</v>
      </c>
      <c r="E156" s="138"/>
      <c r="F156" s="138"/>
      <c r="G156" s="138"/>
    </row>
    <row r="157">
      <c r="A157" s="140">
        <v>49.0</v>
      </c>
      <c r="B157" s="141">
        <v>46046.0</v>
      </c>
      <c r="C157" s="155" t="s">
        <v>381</v>
      </c>
      <c r="D157" s="155">
        <v>20.0</v>
      </c>
      <c r="E157" s="138"/>
      <c r="F157" s="138"/>
      <c r="G157" s="138"/>
    </row>
    <row r="158">
      <c r="A158" s="52"/>
      <c r="B158" s="52"/>
      <c r="C158" s="155" t="s">
        <v>383</v>
      </c>
      <c r="D158" s="155">
        <v>25.0</v>
      </c>
      <c r="E158" s="138"/>
      <c r="F158" s="138"/>
      <c r="G158" s="138"/>
    </row>
    <row r="159">
      <c r="A159" s="52"/>
      <c r="B159" s="52"/>
      <c r="C159" s="155" t="s">
        <v>384</v>
      </c>
      <c r="D159" s="155">
        <v>30.0</v>
      </c>
      <c r="E159" s="138"/>
      <c r="F159" s="138"/>
      <c r="G159" s="138"/>
    </row>
    <row r="160">
      <c r="A160" s="9"/>
      <c r="B160" s="9"/>
      <c r="C160" s="136" t="s">
        <v>385</v>
      </c>
      <c r="D160" s="136">
        <v>132.0</v>
      </c>
      <c r="E160" s="138"/>
      <c r="F160" s="138"/>
      <c r="G160" s="138"/>
    </row>
    <row r="161">
      <c r="A161" s="140">
        <v>50.0</v>
      </c>
      <c r="B161" s="141">
        <v>46048.0</v>
      </c>
      <c r="C161" s="136" t="s">
        <v>386</v>
      </c>
      <c r="D161" s="136">
        <v>20.0</v>
      </c>
      <c r="E161" s="138"/>
      <c r="F161" s="138"/>
      <c r="G161" s="138"/>
    </row>
    <row r="162">
      <c r="A162" s="52"/>
      <c r="B162" s="52"/>
      <c r="C162" s="136" t="s">
        <v>387</v>
      </c>
      <c r="D162" s="136">
        <v>35.0</v>
      </c>
      <c r="E162" s="138"/>
      <c r="F162" s="138"/>
      <c r="G162" s="138"/>
    </row>
    <row r="163">
      <c r="A163" s="9"/>
      <c r="B163" s="9"/>
      <c r="C163" s="136" t="s">
        <v>388</v>
      </c>
      <c r="D163" s="136">
        <v>25.0</v>
      </c>
      <c r="E163" s="138"/>
      <c r="F163" s="138"/>
      <c r="G163" s="138"/>
    </row>
    <row r="164">
      <c r="A164" s="140">
        <v>51.0</v>
      </c>
      <c r="B164" s="141">
        <v>46049.0</v>
      </c>
      <c r="C164" s="136" t="s">
        <v>389</v>
      </c>
      <c r="D164" s="136">
        <v>29.0</v>
      </c>
      <c r="E164" s="138"/>
      <c r="F164" s="138"/>
      <c r="G164" s="138"/>
    </row>
    <row r="165">
      <c r="A165" s="9"/>
      <c r="B165" s="9"/>
      <c r="C165" s="136" t="s">
        <v>390</v>
      </c>
      <c r="D165" s="136">
        <v>20.0</v>
      </c>
      <c r="E165" s="138"/>
      <c r="F165" s="138"/>
      <c r="G165" s="138"/>
    </row>
    <row r="166">
      <c r="A166" s="136">
        <v>52.0</v>
      </c>
      <c r="B166" s="139">
        <v>46050.0</v>
      </c>
      <c r="C166" s="145" t="s">
        <v>391</v>
      </c>
      <c r="D166" s="136">
        <v>30.0</v>
      </c>
      <c r="E166" s="138"/>
      <c r="F166" s="138"/>
      <c r="G166" s="138"/>
    </row>
    <row r="167">
      <c r="A167" s="140">
        <v>53.0</v>
      </c>
      <c r="B167" s="141">
        <v>46051.0</v>
      </c>
      <c r="C167" s="156" t="s">
        <v>392</v>
      </c>
      <c r="D167" s="136">
        <v>20.0</v>
      </c>
      <c r="E167" s="157"/>
      <c r="F167" s="157"/>
      <c r="G167" s="157"/>
    </row>
    <row r="168">
      <c r="A168" s="9"/>
      <c r="B168" s="9"/>
      <c r="C168" s="156" t="s">
        <v>393</v>
      </c>
      <c r="D168" s="136">
        <v>50.0</v>
      </c>
      <c r="E168" s="157"/>
      <c r="F168" s="157"/>
      <c r="G168" s="157"/>
    </row>
    <row r="169">
      <c r="A169" s="158"/>
      <c r="B169" s="159">
        <v>46052.0</v>
      </c>
      <c r="C169" s="160"/>
      <c r="D169" s="158"/>
      <c r="E169" s="158"/>
      <c r="F169" s="158"/>
      <c r="G169" s="158"/>
    </row>
    <row r="170">
      <c r="A170" s="158"/>
      <c r="B170" s="158"/>
      <c r="C170" s="158"/>
      <c r="D170" s="158"/>
      <c r="E170" s="158"/>
      <c r="F170" s="158"/>
      <c r="G170" s="158"/>
    </row>
    <row r="171">
      <c r="A171" s="158"/>
      <c r="B171" s="158"/>
      <c r="C171" s="158"/>
      <c r="D171" s="158"/>
      <c r="E171" s="158"/>
      <c r="F171" s="158"/>
      <c r="G171" s="158"/>
    </row>
    <row r="172">
      <c r="A172" s="158"/>
      <c r="B172" s="158"/>
      <c r="C172" s="158"/>
      <c r="D172" s="158"/>
      <c r="E172" s="158"/>
      <c r="F172" s="158"/>
      <c r="G172" s="158"/>
    </row>
    <row r="173">
      <c r="A173" s="158"/>
      <c r="B173" s="158"/>
      <c r="C173" s="158"/>
      <c r="D173" s="158"/>
      <c r="E173" s="158"/>
      <c r="F173" s="158"/>
      <c r="G173" s="158"/>
    </row>
    <row r="174">
      <c r="A174" s="158"/>
      <c r="B174" s="158"/>
      <c r="C174" s="158"/>
      <c r="D174" s="158"/>
      <c r="E174" s="158"/>
      <c r="F174" s="158"/>
      <c r="G174" s="158"/>
    </row>
    <row r="175">
      <c r="A175" s="158"/>
      <c r="B175" s="158"/>
      <c r="C175" s="158"/>
      <c r="D175" s="158"/>
      <c r="E175" s="158"/>
      <c r="F175" s="158"/>
      <c r="G175" s="158"/>
    </row>
    <row r="176">
      <c r="A176" s="158"/>
      <c r="B176" s="158"/>
      <c r="C176" s="158"/>
      <c r="D176" s="158"/>
      <c r="E176" s="158"/>
      <c r="F176" s="158"/>
      <c r="G176" s="158"/>
    </row>
    <row r="177">
      <c r="A177" s="158"/>
      <c r="B177" s="158"/>
      <c r="C177" s="158"/>
      <c r="D177" s="158"/>
      <c r="E177" s="158"/>
      <c r="F177" s="158"/>
      <c r="G177" s="158"/>
    </row>
    <row r="178">
      <c r="A178" s="158"/>
      <c r="B178" s="158"/>
      <c r="C178" s="158"/>
      <c r="D178" s="158"/>
      <c r="E178" s="158"/>
      <c r="F178" s="158"/>
      <c r="G178" s="158"/>
    </row>
    <row r="179">
      <c r="A179" s="158"/>
      <c r="B179" s="158"/>
      <c r="C179" s="158"/>
      <c r="D179" s="158"/>
      <c r="E179" s="158"/>
      <c r="F179" s="158"/>
      <c r="G179" s="158"/>
    </row>
    <row r="180">
      <c r="A180" s="158"/>
      <c r="B180" s="158"/>
      <c r="C180" s="158"/>
      <c r="D180" s="158"/>
      <c r="E180" s="158"/>
      <c r="F180" s="158"/>
      <c r="G180" s="158"/>
    </row>
    <row r="181">
      <c r="A181" s="158"/>
      <c r="B181" s="158"/>
      <c r="C181" s="158"/>
      <c r="D181" s="158"/>
      <c r="E181" s="158"/>
      <c r="F181" s="158"/>
      <c r="G181" s="158"/>
    </row>
    <row r="182">
      <c r="A182" s="158"/>
      <c r="B182" s="158"/>
      <c r="C182" s="158"/>
      <c r="D182" s="158"/>
      <c r="E182" s="158"/>
      <c r="F182" s="158"/>
      <c r="G182" s="158"/>
    </row>
    <row r="183">
      <c r="A183" s="158"/>
      <c r="B183" s="158"/>
      <c r="C183" s="158"/>
      <c r="D183" s="158"/>
      <c r="E183" s="158"/>
      <c r="F183" s="158"/>
      <c r="G183" s="158"/>
    </row>
    <row r="184">
      <c r="A184" s="158"/>
      <c r="B184" s="158"/>
      <c r="C184" s="158"/>
      <c r="D184" s="158"/>
      <c r="E184" s="158"/>
      <c r="F184" s="158"/>
      <c r="G184" s="158"/>
    </row>
    <row r="185">
      <c r="A185" s="158"/>
      <c r="B185" s="158"/>
      <c r="C185" s="158"/>
      <c r="D185" s="158"/>
      <c r="E185" s="158"/>
      <c r="F185" s="158"/>
      <c r="G185" s="158"/>
    </row>
    <row r="186">
      <c r="A186" s="158"/>
      <c r="B186" s="158"/>
      <c r="C186" s="158"/>
      <c r="D186" s="158"/>
      <c r="E186" s="158"/>
      <c r="F186" s="158"/>
      <c r="G186" s="158"/>
    </row>
    <row r="187">
      <c r="A187" s="158"/>
      <c r="B187" s="158"/>
      <c r="C187" s="158"/>
      <c r="D187" s="158"/>
      <c r="E187" s="158"/>
      <c r="F187" s="158"/>
      <c r="G187" s="158"/>
    </row>
    <row r="188">
      <c r="A188" s="158"/>
      <c r="B188" s="158"/>
      <c r="C188" s="158"/>
      <c r="D188" s="158"/>
      <c r="E188" s="158"/>
      <c r="F188" s="158"/>
      <c r="G188" s="158"/>
    </row>
    <row r="189">
      <c r="A189" s="158"/>
      <c r="B189" s="158"/>
      <c r="C189" s="158"/>
      <c r="D189" s="158"/>
      <c r="E189" s="158"/>
      <c r="F189" s="158"/>
      <c r="G189" s="158"/>
    </row>
    <row r="190">
      <c r="A190" s="158"/>
      <c r="B190" s="158"/>
      <c r="C190" s="158"/>
      <c r="D190" s="158"/>
      <c r="E190" s="158"/>
      <c r="F190" s="158"/>
      <c r="G190" s="158"/>
    </row>
    <row r="191">
      <c r="A191" s="158"/>
      <c r="B191" s="158"/>
      <c r="C191" s="158"/>
      <c r="D191" s="158"/>
      <c r="E191" s="158"/>
      <c r="F191" s="158"/>
      <c r="G191" s="158"/>
    </row>
    <row r="192">
      <c r="A192" s="158"/>
      <c r="B192" s="158"/>
      <c r="C192" s="158"/>
      <c r="D192" s="158"/>
      <c r="E192" s="158"/>
      <c r="F192" s="158"/>
      <c r="G192" s="158"/>
    </row>
    <row r="193">
      <c r="A193" s="158"/>
      <c r="B193" s="158"/>
      <c r="C193" s="158"/>
      <c r="D193" s="158"/>
      <c r="E193" s="158"/>
      <c r="F193" s="158"/>
      <c r="G193" s="158"/>
    </row>
    <row r="194">
      <c r="A194" s="158"/>
      <c r="B194" s="158"/>
      <c r="C194" s="158"/>
      <c r="D194" s="158"/>
      <c r="E194" s="158"/>
      <c r="F194" s="158"/>
      <c r="G194" s="158"/>
    </row>
    <row r="195">
      <c r="A195" s="158"/>
      <c r="B195" s="158"/>
      <c r="C195" s="158"/>
      <c r="D195" s="158"/>
      <c r="E195" s="158"/>
      <c r="F195" s="158"/>
      <c r="G195" s="158"/>
    </row>
    <row r="196">
      <c r="A196" s="158"/>
      <c r="B196" s="158"/>
      <c r="C196" s="158"/>
      <c r="D196" s="158"/>
      <c r="E196" s="158"/>
      <c r="F196" s="158"/>
      <c r="G196" s="158"/>
    </row>
    <row r="197">
      <c r="A197" s="158"/>
      <c r="B197" s="158"/>
      <c r="C197" s="158"/>
      <c r="D197" s="158"/>
      <c r="E197" s="158"/>
      <c r="F197" s="158"/>
      <c r="G197" s="158"/>
    </row>
    <row r="198">
      <c r="A198" s="158"/>
      <c r="B198" s="158"/>
      <c r="C198" s="158"/>
      <c r="D198" s="158"/>
      <c r="E198" s="158"/>
      <c r="F198" s="158"/>
      <c r="G198" s="158"/>
    </row>
    <row r="199">
      <c r="A199" s="158"/>
      <c r="B199" s="158"/>
      <c r="C199" s="158"/>
      <c r="D199" s="158"/>
      <c r="E199" s="158"/>
      <c r="F199" s="158"/>
      <c r="G199" s="158"/>
    </row>
    <row r="200">
      <c r="A200" s="158"/>
      <c r="B200" s="158"/>
      <c r="C200" s="158"/>
      <c r="D200" s="158"/>
      <c r="E200" s="158"/>
      <c r="F200" s="158"/>
      <c r="G200" s="158"/>
    </row>
    <row r="201">
      <c r="A201" s="158"/>
      <c r="B201" s="158"/>
      <c r="C201" s="158"/>
      <c r="D201" s="158"/>
      <c r="E201" s="158"/>
      <c r="F201" s="158"/>
      <c r="G201" s="158"/>
    </row>
    <row r="202">
      <c r="A202" s="158"/>
      <c r="B202" s="158"/>
      <c r="C202" s="158"/>
      <c r="D202" s="158"/>
      <c r="E202" s="158"/>
      <c r="F202" s="158"/>
      <c r="G202" s="158"/>
    </row>
    <row r="203">
      <c r="A203" s="158"/>
      <c r="B203" s="158"/>
      <c r="C203" s="158"/>
      <c r="D203" s="158"/>
      <c r="E203" s="158"/>
      <c r="F203" s="158"/>
      <c r="G203" s="158"/>
    </row>
    <row r="204">
      <c r="A204" s="158"/>
      <c r="B204" s="158"/>
      <c r="C204" s="158"/>
      <c r="D204" s="158"/>
      <c r="E204" s="158"/>
      <c r="F204" s="158"/>
      <c r="G204" s="158"/>
    </row>
    <row r="205">
      <c r="A205" s="158"/>
      <c r="B205" s="158"/>
      <c r="C205" s="158"/>
      <c r="D205" s="158"/>
      <c r="E205" s="158"/>
      <c r="F205" s="158"/>
      <c r="G205" s="158"/>
    </row>
    <row r="206">
      <c r="A206" s="158"/>
      <c r="B206" s="158"/>
      <c r="C206" s="158"/>
      <c r="D206" s="158"/>
      <c r="E206" s="158"/>
      <c r="F206" s="158"/>
      <c r="G206" s="158"/>
    </row>
    <row r="207">
      <c r="A207" s="158"/>
      <c r="B207" s="158"/>
      <c r="C207" s="158"/>
      <c r="D207" s="158"/>
      <c r="E207" s="158"/>
      <c r="F207" s="158"/>
      <c r="G207" s="158"/>
    </row>
    <row r="208">
      <c r="A208" s="158"/>
      <c r="B208" s="158"/>
      <c r="C208" s="158"/>
      <c r="D208" s="158"/>
      <c r="E208" s="158"/>
      <c r="F208" s="158"/>
      <c r="G208" s="158"/>
    </row>
    <row r="209">
      <c r="A209" s="158"/>
      <c r="B209" s="158"/>
      <c r="C209" s="158"/>
      <c r="D209" s="158"/>
      <c r="E209" s="158"/>
      <c r="F209" s="158"/>
      <c r="G209" s="158"/>
    </row>
    <row r="210">
      <c r="A210" s="158"/>
      <c r="B210" s="158"/>
      <c r="C210" s="158"/>
      <c r="D210" s="158"/>
      <c r="E210" s="158"/>
      <c r="F210" s="158"/>
      <c r="G210" s="158"/>
    </row>
    <row r="211">
      <c r="A211" s="158"/>
      <c r="B211" s="158"/>
      <c r="C211" s="158"/>
      <c r="D211" s="158"/>
      <c r="E211" s="158"/>
      <c r="F211" s="158"/>
      <c r="G211" s="158"/>
    </row>
    <row r="212">
      <c r="A212" s="158"/>
      <c r="B212" s="158"/>
      <c r="C212" s="158"/>
      <c r="D212" s="158"/>
      <c r="E212" s="158"/>
      <c r="F212" s="158"/>
      <c r="G212" s="158"/>
    </row>
    <row r="213">
      <c r="A213" s="158"/>
      <c r="B213" s="158"/>
      <c r="C213" s="158"/>
      <c r="D213" s="158"/>
      <c r="E213" s="158"/>
      <c r="F213" s="158"/>
      <c r="G213" s="158"/>
    </row>
    <row r="214">
      <c r="A214" s="158"/>
      <c r="B214" s="158"/>
      <c r="C214" s="158"/>
      <c r="D214" s="158"/>
      <c r="E214" s="158"/>
      <c r="F214" s="158"/>
      <c r="G214" s="158"/>
    </row>
    <row r="215">
      <c r="A215" s="158"/>
      <c r="B215" s="158"/>
      <c r="C215" s="158"/>
      <c r="D215" s="158"/>
      <c r="E215" s="158"/>
      <c r="F215" s="158"/>
      <c r="G215" s="158"/>
    </row>
    <row r="216">
      <c r="A216" s="158"/>
      <c r="B216" s="158"/>
      <c r="C216" s="158"/>
      <c r="D216" s="158"/>
      <c r="E216" s="158"/>
      <c r="F216" s="158"/>
      <c r="G216" s="158"/>
    </row>
    <row r="217">
      <c r="A217" s="158"/>
      <c r="B217" s="158"/>
      <c r="C217" s="158"/>
      <c r="D217" s="158"/>
      <c r="E217" s="158"/>
      <c r="F217" s="158"/>
      <c r="G217" s="158"/>
    </row>
    <row r="218">
      <c r="A218" s="158"/>
      <c r="B218" s="158"/>
      <c r="C218" s="158"/>
      <c r="D218" s="158"/>
      <c r="E218" s="158"/>
      <c r="F218" s="158"/>
      <c r="G218" s="158"/>
    </row>
    <row r="219">
      <c r="A219" s="158"/>
      <c r="B219" s="158"/>
      <c r="C219" s="158"/>
      <c r="D219" s="158"/>
      <c r="E219" s="158"/>
      <c r="F219" s="158"/>
      <c r="G219" s="158"/>
    </row>
    <row r="220">
      <c r="A220" s="158"/>
      <c r="B220" s="158"/>
      <c r="C220" s="158"/>
      <c r="D220" s="158"/>
      <c r="E220" s="158"/>
      <c r="F220" s="158"/>
      <c r="G220" s="158"/>
    </row>
    <row r="221">
      <c r="A221" s="158"/>
      <c r="B221" s="158"/>
      <c r="C221" s="158"/>
      <c r="D221" s="158"/>
      <c r="E221" s="158"/>
      <c r="F221" s="158"/>
      <c r="G221" s="158"/>
    </row>
    <row r="222">
      <c r="A222" s="158"/>
      <c r="B222" s="158"/>
      <c r="C222" s="158"/>
      <c r="D222" s="158"/>
      <c r="E222" s="158"/>
      <c r="F222" s="158"/>
      <c r="G222" s="158"/>
    </row>
    <row r="223">
      <c r="A223" s="158"/>
      <c r="B223" s="158"/>
      <c r="C223" s="158"/>
      <c r="D223" s="158"/>
      <c r="E223" s="158"/>
      <c r="F223" s="158"/>
      <c r="G223" s="158"/>
    </row>
    <row r="224">
      <c r="A224" s="158"/>
      <c r="B224" s="158"/>
      <c r="C224" s="158"/>
      <c r="D224" s="158"/>
      <c r="E224" s="158"/>
      <c r="F224" s="158"/>
      <c r="G224" s="158"/>
    </row>
    <row r="225">
      <c r="A225" s="158"/>
      <c r="B225" s="158"/>
      <c r="C225" s="158"/>
      <c r="D225" s="158"/>
      <c r="E225" s="158"/>
      <c r="F225" s="158"/>
      <c r="G225" s="158"/>
    </row>
    <row r="226">
      <c r="A226" s="158"/>
      <c r="B226" s="158"/>
      <c r="C226" s="158"/>
      <c r="D226" s="158"/>
      <c r="E226" s="158"/>
      <c r="F226" s="158"/>
      <c r="G226" s="158"/>
    </row>
    <row r="227">
      <c r="A227" s="158"/>
      <c r="B227" s="158"/>
      <c r="C227" s="158"/>
      <c r="D227" s="158"/>
      <c r="E227" s="158"/>
      <c r="F227" s="158"/>
      <c r="G227" s="158"/>
    </row>
    <row r="228">
      <c r="A228" s="158"/>
      <c r="B228" s="158"/>
      <c r="C228" s="158"/>
      <c r="D228" s="158"/>
      <c r="E228" s="158"/>
      <c r="F228" s="158"/>
      <c r="G228" s="158"/>
    </row>
    <row r="229">
      <c r="A229" s="158"/>
      <c r="B229" s="158"/>
      <c r="C229" s="158"/>
      <c r="D229" s="158"/>
      <c r="E229" s="158"/>
      <c r="F229" s="158"/>
      <c r="G229" s="158"/>
    </row>
    <row r="230">
      <c r="A230" s="158"/>
      <c r="B230" s="158"/>
      <c r="C230" s="158"/>
      <c r="D230" s="158"/>
      <c r="E230" s="158"/>
      <c r="F230" s="158"/>
      <c r="G230" s="158"/>
    </row>
    <row r="231">
      <c r="A231" s="158"/>
      <c r="B231" s="158"/>
      <c r="C231" s="158"/>
      <c r="D231" s="158"/>
      <c r="E231" s="158"/>
      <c r="F231" s="158"/>
      <c r="G231" s="158"/>
    </row>
    <row r="232">
      <c r="A232" s="158"/>
      <c r="B232" s="158"/>
      <c r="C232" s="158"/>
      <c r="D232" s="158"/>
      <c r="E232" s="158"/>
      <c r="F232" s="158"/>
      <c r="G232" s="158"/>
    </row>
    <row r="233">
      <c r="A233" s="158"/>
      <c r="B233" s="158"/>
      <c r="C233" s="158"/>
      <c r="D233" s="158"/>
      <c r="E233" s="158"/>
      <c r="F233" s="158"/>
      <c r="G233" s="158"/>
    </row>
    <row r="234">
      <c r="A234" s="158"/>
      <c r="B234" s="158"/>
      <c r="C234" s="158"/>
      <c r="D234" s="158"/>
      <c r="E234" s="158"/>
      <c r="F234" s="158"/>
      <c r="G234" s="158"/>
    </row>
    <row r="235">
      <c r="A235" s="158"/>
      <c r="B235" s="158"/>
      <c r="C235" s="158"/>
      <c r="D235" s="158"/>
      <c r="E235" s="158"/>
      <c r="F235" s="158"/>
      <c r="G235" s="158"/>
    </row>
    <row r="236">
      <c r="A236" s="158"/>
      <c r="B236" s="158"/>
      <c r="C236" s="158"/>
      <c r="D236" s="158"/>
      <c r="E236" s="158"/>
      <c r="F236" s="158"/>
      <c r="G236" s="158"/>
    </row>
    <row r="237">
      <c r="A237" s="158"/>
      <c r="B237" s="158"/>
      <c r="C237" s="158"/>
      <c r="D237" s="158"/>
      <c r="E237" s="158"/>
      <c r="F237" s="158"/>
      <c r="G237" s="158"/>
    </row>
    <row r="238">
      <c r="A238" s="158"/>
      <c r="B238" s="158"/>
      <c r="C238" s="158"/>
      <c r="D238" s="158"/>
      <c r="E238" s="158"/>
      <c r="F238" s="158"/>
      <c r="G238" s="158"/>
    </row>
    <row r="239">
      <c r="A239" s="158"/>
      <c r="B239" s="158"/>
      <c r="C239" s="158"/>
      <c r="D239" s="158"/>
      <c r="E239" s="158"/>
      <c r="F239" s="158"/>
      <c r="G239" s="158"/>
    </row>
    <row r="240">
      <c r="A240" s="158"/>
      <c r="B240" s="158"/>
      <c r="C240" s="158"/>
      <c r="D240" s="158"/>
      <c r="E240" s="158"/>
      <c r="F240" s="158"/>
      <c r="G240" s="158"/>
    </row>
    <row r="241">
      <c r="A241" s="158"/>
      <c r="B241" s="158"/>
      <c r="C241" s="158"/>
      <c r="D241" s="158"/>
      <c r="E241" s="158"/>
      <c r="F241" s="158"/>
      <c r="G241" s="158"/>
    </row>
    <row r="242">
      <c r="A242" s="158"/>
      <c r="B242" s="158"/>
      <c r="C242" s="158"/>
      <c r="D242" s="158"/>
      <c r="E242" s="158"/>
      <c r="F242" s="158"/>
      <c r="G242" s="158"/>
    </row>
    <row r="243">
      <c r="A243" s="158"/>
      <c r="B243" s="158"/>
      <c r="C243" s="158"/>
      <c r="D243" s="158"/>
      <c r="E243" s="158"/>
      <c r="F243" s="158"/>
      <c r="G243" s="158"/>
    </row>
    <row r="244">
      <c r="A244" s="158"/>
      <c r="B244" s="158"/>
      <c r="C244" s="158"/>
      <c r="D244" s="158"/>
      <c r="E244" s="158"/>
      <c r="F244" s="158"/>
      <c r="G244" s="158"/>
    </row>
    <row r="245">
      <c r="A245" s="158"/>
      <c r="B245" s="158"/>
      <c r="C245" s="158"/>
      <c r="D245" s="158"/>
      <c r="E245" s="158"/>
      <c r="F245" s="158"/>
      <c r="G245" s="158"/>
    </row>
    <row r="246">
      <c r="A246" s="158"/>
      <c r="B246" s="158"/>
      <c r="C246" s="158"/>
      <c r="D246" s="158"/>
      <c r="E246" s="158"/>
      <c r="F246" s="158"/>
      <c r="G246" s="158"/>
    </row>
    <row r="247">
      <c r="A247" s="158"/>
      <c r="B247" s="158"/>
      <c r="C247" s="158"/>
      <c r="D247" s="158"/>
      <c r="E247" s="158"/>
      <c r="F247" s="158"/>
      <c r="G247" s="158"/>
    </row>
    <row r="248">
      <c r="A248" s="158"/>
      <c r="B248" s="158"/>
      <c r="C248" s="158"/>
      <c r="D248" s="158"/>
      <c r="E248" s="158"/>
      <c r="F248" s="158"/>
      <c r="G248" s="158"/>
    </row>
    <row r="249">
      <c r="A249" s="158"/>
      <c r="B249" s="158"/>
      <c r="C249" s="158"/>
      <c r="D249" s="158"/>
      <c r="E249" s="158"/>
      <c r="F249" s="158"/>
      <c r="G249" s="158"/>
    </row>
    <row r="250">
      <c r="A250" s="158"/>
      <c r="B250" s="158"/>
      <c r="C250" s="158"/>
      <c r="D250" s="158"/>
      <c r="E250" s="158"/>
      <c r="F250" s="158"/>
      <c r="G250" s="158"/>
    </row>
    <row r="251">
      <c r="A251" s="158"/>
      <c r="B251" s="158"/>
      <c r="C251" s="158"/>
      <c r="D251" s="158"/>
      <c r="E251" s="158"/>
      <c r="F251" s="158"/>
      <c r="G251" s="158"/>
    </row>
    <row r="252">
      <c r="A252" s="158"/>
      <c r="B252" s="158"/>
      <c r="C252" s="158"/>
      <c r="D252" s="158"/>
      <c r="E252" s="158"/>
      <c r="F252" s="158"/>
      <c r="G252" s="158"/>
    </row>
    <row r="253">
      <c r="A253" s="158"/>
      <c r="B253" s="158"/>
      <c r="C253" s="158"/>
      <c r="D253" s="158"/>
      <c r="E253" s="158"/>
      <c r="F253" s="158"/>
      <c r="G253" s="158"/>
    </row>
    <row r="254">
      <c r="A254" s="158"/>
      <c r="B254" s="158"/>
      <c r="C254" s="158"/>
      <c r="D254" s="158"/>
      <c r="E254" s="158"/>
      <c r="F254" s="158"/>
      <c r="G254" s="158"/>
    </row>
    <row r="255">
      <c r="A255" s="158"/>
      <c r="B255" s="158"/>
      <c r="C255" s="158"/>
      <c r="D255" s="158"/>
      <c r="E255" s="158"/>
      <c r="F255" s="158"/>
      <c r="G255" s="158"/>
    </row>
    <row r="256">
      <c r="A256" s="158"/>
      <c r="B256" s="158"/>
      <c r="C256" s="158"/>
      <c r="D256" s="158"/>
      <c r="E256" s="158"/>
      <c r="F256" s="158"/>
      <c r="G256" s="158"/>
    </row>
    <row r="257">
      <c r="A257" s="158"/>
      <c r="B257" s="158"/>
      <c r="C257" s="158"/>
      <c r="D257" s="158"/>
      <c r="E257" s="158"/>
      <c r="F257" s="158"/>
      <c r="G257" s="158"/>
    </row>
    <row r="258">
      <c r="A258" s="158"/>
      <c r="B258" s="158"/>
      <c r="C258" s="158"/>
      <c r="D258" s="158"/>
      <c r="E258" s="158"/>
      <c r="F258" s="158"/>
      <c r="G258" s="158"/>
    </row>
    <row r="259">
      <c r="A259" s="158"/>
      <c r="B259" s="158"/>
      <c r="C259" s="158"/>
      <c r="D259" s="158"/>
      <c r="E259" s="158"/>
      <c r="F259" s="158"/>
      <c r="G259" s="158"/>
    </row>
    <row r="260">
      <c r="A260" s="158"/>
      <c r="B260" s="158"/>
      <c r="C260" s="158"/>
      <c r="D260" s="158"/>
      <c r="E260" s="158"/>
      <c r="F260" s="158"/>
      <c r="G260" s="158"/>
    </row>
    <row r="261">
      <c r="A261" s="158"/>
      <c r="B261" s="158"/>
      <c r="C261" s="158"/>
      <c r="D261" s="158"/>
      <c r="E261" s="158"/>
      <c r="F261" s="158"/>
      <c r="G261" s="158"/>
    </row>
    <row r="262">
      <c r="A262" s="158"/>
      <c r="B262" s="158"/>
      <c r="C262" s="158"/>
      <c r="D262" s="158"/>
      <c r="E262" s="158"/>
      <c r="F262" s="158"/>
      <c r="G262" s="158"/>
    </row>
    <row r="263">
      <c r="A263" s="158"/>
      <c r="B263" s="158"/>
      <c r="C263" s="158"/>
      <c r="D263" s="158"/>
      <c r="E263" s="158"/>
      <c r="F263" s="158"/>
      <c r="G263" s="158"/>
    </row>
    <row r="264">
      <c r="A264" s="158"/>
      <c r="B264" s="158"/>
      <c r="C264" s="158"/>
      <c r="D264" s="158"/>
      <c r="E264" s="158"/>
      <c r="F264" s="158"/>
      <c r="G264" s="158"/>
    </row>
    <row r="265">
      <c r="A265" s="158"/>
      <c r="B265" s="158"/>
      <c r="C265" s="158"/>
      <c r="D265" s="158"/>
      <c r="E265" s="158"/>
      <c r="F265" s="158"/>
      <c r="G265" s="158"/>
    </row>
    <row r="266">
      <c r="A266" s="158"/>
      <c r="B266" s="158"/>
      <c r="C266" s="158"/>
      <c r="D266" s="158"/>
      <c r="E266" s="158"/>
      <c r="F266" s="158"/>
      <c r="G266" s="158"/>
    </row>
    <row r="267">
      <c r="A267" s="158"/>
      <c r="B267" s="158"/>
      <c r="C267" s="158"/>
      <c r="D267" s="158"/>
      <c r="E267" s="158"/>
      <c r="F267" s="158"/>
      <c r="G267" s="158"/>
    </row>
    <row r="268">
      <c r="A268" s="158"/>
      <c r="B268" s="158"/>
      <c r="C268" s="158"/>
      <c r="D268" s="158"/>
      <c r="E268" s="158"/>
      <c r="F268" s="158"/>
      <c r="G268" s="158"/>
    </row>
    <row r="269">
      <c r="A269" s="158"/>
      <c r="B269" s="158"/>
      <c r="C269" s="158"/>
      <c r="D269" s="158"/>
      <c r="E269" s="158"/>
      <c r="F269" s="158"/>
      <c r="G269" s="158"/>
    </row>
    <row r="270">
      <c r="A270" s="158"/>
      <c r="B270" s="158"/>
      <c r="C270" s="158"/>
      <c r="D270" s="158"/>
      <c r="E270" s="158"/>
      <c r="F270" s="158"/>
      <c r="G270" s="158"/>
    </row>
    <row r="271">
      <c r="A271" s="158"/>
      <c r="B271" s="158"/>
      <c r="C271" s="158"/>
      <c r="D271" s="158"/>
      <c r="E271" s="158"/>
      <c r="F271" s="158"/>
      <c r="G271" s="158"/>
    </row>
    <row r="272">
      <c r="A272" s="158"/>
      <c r="B272" s="158"/>
      <c r="C272" s="158"/>
      <c r="D272" s="158"/>
      <c r="E272" s="158"/>
      <c r="F272" s="158"/>
      <c r="G272" s="158"/>
    </row>
    <row r="273">
      <c r="A273" s="158"/>
      <c r="B273" s="158"/>
      <c r="C273" s="158"/>
      <c r="D273" s="158"/>
      <c r="E273" s="158"/>
      <c r="F273" s="158"/>
      <c r="G273" s="158"/>
    </row>
    <row r="274">
      <c r="A274" s="158"/>
      <c r="B274" s="158"/>
      <c r="C274" s="158"/>
      <c r="D274" s="158"/>
      <c r="E274" s="158"/>
      <c r="F274" s="158"/>
      <c r="G274" s="158"/>
    </row>
    <row r="275">
      <c r="A275" s="158"/>
      <c r="B275" s="158"/>
      <c r="C275" s="158"/>
      <c r="D275" s="158"/>
      <c r="E275" s="158"/>
      <c r="F275" s="158"/>
      <c r="G275" s="158"/>
    </row>
    <row r="276">
      <c r="A276" s="158"/>
      <c r="B276" s="158"/>
      <c r="C276" s="158"/>
      <c r="D276" s="158"/>
      <c r="E276" s="158"/>
      <c r="F276" s="158"/>
      <c r="G276" s="158"/>
    </row>
    <row r="277">
      <c r="A277" s="158"/>
      <c r="B277" s="158"/>
      <c r="C277" s="158"/>
      <c r="D277" s="158"/>
      <c r="E277" s="158"/>
      <c r="F277" s="158"/>
      <c r="G277" s="158"/>
    </row>
    <row r="278">
      <c r="A278" s="158"/>
      <c r="B278" s="158"/>
      <c r="C278" s="158"/>
      <c r="D278" s="158"/>
      <c r="E278" s="158"/>
      <c r="F278" s="158"/>
      <c r="G278" s="158"/>
    </row>
    <row r="279">
      <c r="A279" s="158"/>
      <c r="B279" s="158"/>
      <c r="C279" s="158"/>
      <c r="D279" s="158"/>
      <c r="E279" s="158"/>
      <c r="F279" s="158"/>
      <c r="G279" s="158"/>
    </row>
    <row r="280">
      <c r="A280" s="158"/>
      <c r="B280" s="158"/>
      <c r="C280" s="158"/>
      <c r="D280" s="158"/>
      <c r="E280" s="158"/>
      <c r="F280" s="158"/>
      <c r="G280" s="158"/>
    </row>
    <row r="281">
      <c r="A281" s="158"/>
      <c r="B281" s="158"/>
      <c r="C281" s="158"/>
      <c r="D281" s="158"/>
      <c r="E281" s="158"/>
      <c r="F281" s="158"/>
      <c r="G281" s="158"/>
    </row>
    <row r="282">
      <c r="A282" s="158"/>
      <c r="B282" s="158"/>
      <c r="C282" s="158"/>
      <c r="D282" s="158"/>
      <c r="E282" s="158"/>
      <c r="F282" s="158"/>
      <c r="G282" s="158"/>
    </row>
    <row r="283">
      <c r="A283" s="158"/>
      <c r="B283" s="158"/>
      <c r="C283" s="158"/>
      <c r="D283" s="158"/>
      <c r="E283" s="158"/>
      <c r="F283" s="158"/>
      <c r="G283" s="158"/>
    </row>
    <row r="284">
      <c r="A284" s="158"/>
      <c r="B284" s="158"/>
      <c r="C284" s="158"/>
      <c r="D284" s="158"/>
      <c r="E284" s="158"/>
      <c r="F284" s="158"/>
      <c r="G284" s="158"/>
    </row>
    <row r="285">
      <c r="A285" s="158"/>
      <c r="B285" s="158"/>
      <c r="C285" s="158"/>
      <c r="D285" s="158"/>
      <c r="E285" s="158"/>
      <c r="F285" s="158"/>
      <c r="G285" s="158"/>
    </row>
    <row r="286">
      <c r="A286" s="158"/>
      <c r="B286" s="158"/>
      <c r="C286" s="158"/>
      <c r="D286" s="158"/>
      <c r="E286" s="158"/>
      <c r="F286" s="158"/>
      <c r="G286" s="158"/>
    </row>
    <row r="287">
      <c r="A287" s="158"/>
      <c r="B287" s="158"/>
      <c r="C287" s="158"/>
      <c r="D287" s="158"/>
      <c r="E287" s="158"/>
      <c r="F287" s="158"/>
      <c r="G287" s="158"/>
    </row>
    <row r="288">
      <c r="A288" s="158"/>
      <c r="B288" s="158"/>
      <c r="C288" s="158"/>
      <c r="D288" s="158"/>
      <c r="E288" s="158"/>
      <c r="F288" s="158"/>
      <c r="G288" s="158"/>
    </row>
    <row r="289">
      <c r="A289" s="158"/>
      <c r="B289" s="158"/>
      <c r="C289" s="158"/>
      <c r="D289" s="158"/>
      <c r="E289" s="158"/>
      <c r="F289" s="158"/>
      <c r="G289" s="158"/>
    </row>
    <row r="290">
      <c r="A290" s="158"/>
      <c r="B290" s="158"/>
      <c r="C290" s="158"/>
      <c r="D290" s="158"/>
      <c r="E290" s="158"/>
      <c r="F290" s="158"/>
      <c r="G290" s="158"/>
    </row>
    <row r="291">
      <c r="A291" s="158"/>
      <c r="B291" s="158"/>
      <c r="C291" s="158"/>
      <c r="D291" s="158"/>
      <c r="E291" s="158"/>
      <c r="F291" s="158"/>
      <c r="G291" s="158"/>
    </row>
    <row r="292">
      <c r="A292" s="158"/>
      <c r="B292" s="158"/>
      <c r="C292" s="158"/>
      <c r="D292" s="158"/>
      <c r="E292" s="158"/>
      <c r="F292" s="158"/>
      <c r="G292" s="158"/>
    </row>
    <row r="293">
      <c r="A293" s="158"/>
      <c r="B293" s="158"/>
      <c r="C293" s="158"/>
      <c r="D293" s="158"/>
      <c r="E293" s="158"/>
      <c r="F293" s="158"/>
      <c r="G293" s="158"/>
    </row>
    <row r="294">
      <c r="A294" s="158"/>
      <c r="B294" s="158"/>
      <c r="C294" s="158"/>
      <c r="D294" s="158"/>
      <c r="E294" s="158"/>
      <c r="F294" s="158"/>
      <c r="G294" s="158"/>
    </row>
    <row r="295">
      <c r="A295" s="158"/>
      <c r="B295" s="158"/>
      <c r="C295" s="158"/>
      <c r="D295" s="158"/>
      <c r="E295" s="158"/>
      <c r="F295" s="158"/>
      <c r="G295" s="158"/>
    </row>
    <row r="296">
      <c r="A296" s="158"/>
      <c r="B296" s="158"/>
      <c r="C296" s="158"/>
      <c r="D296" s="158"/>
      <c r="E296" s="158"/>
      <c r="F296" s="158"/>
      <c r="G296" s="158"/>
    </row>
    <row r="297">
      <c r="A297" s="158"/>
      <c r="B297" s="158"/>
      <c r="C297" s="158"/>
      <c r="D297" s="158"/>
      <c r="E297" s="158"/>
      <c r="F297" s="158"/>
      <c r="G297" s="158"/>
    </row>
    <row r="298">
      <c r="A298" s="158"/>
      <c r="B298" s="158"/>
      <c r="C298" s="158"/>
      <c r="D298" s="158"/>
      <c r="E298" s="158"/>
      <c r="F298" s="158"/>
      <c r="G298" s="158"/>
    </row>
    <row r="299">
      <c r="A299" s="158"/>
      <c r="B299" s="158"/>
      <c r="C299" s="158"/>
      <c r="D299" s="158"/>
      <c r="E299" s="158"/>
      <c r="F299" s="158"/>
      <c r="G299" s="158"/>
    </row>
    <row r="300">
      <c r="A300" s="158"/>
      <c r="B300" s="158"/>
      <c r="C300" s="158"/>
      <c r="D300" s="158"/>
      <c r="E300" s="158"/>
      <c r="F300" s="158"/>
      <c r="G300" s="158"/>
    </row>
    <row r="301">
      <c r="A301" s="158"/>
      <c r="B301" s="158"/>
      <c r="C301" s="158"/>
      <c r="D301" s="158"/>
      <c r="E301" s="158"/>
      <c r="F301" s="158"/>
      <c r="G301" s="158"/>
    </row>
    <row r="302">
      <c r="A302" s="158"/>
      <c r="B302" s="158"/>
      <c r="C302" s="158"/>
      <c r="D302" s="158"/>
      <c r="E302" s="158"/>
      <c r="F302" s="158"/>
      <c r="G302" s="158"/>
    </row>
    <row r="303">
      <c r="A303" s="158"/>
      <c r="B303" s="158"/>
      <c r="C303" s="158"/>
      <c r="D303" s="158"/>
      <c r="E303" s="158"/>
      <c r="F303" s="158"/>
      <c r="G303" s="158"/>
    </row>
    <row r="304">
      <c r="A304" s="158"/>
      <c r="B304" s="158"/>
      <c r="C304" s="158"/>
      <c r="D304" s="158"/>
      <c r="E304" s="158"/>
      <c r="F304" s="158"/>
      <c r="G304" s="158"/>
    </row>
    <row r="305">
      <c r="A305" s="158"/>
      <c r="B305" s="158"/>
      <c r="C305" s="158"/>
      <c r="D305" s="158"/>
      <c r="E305" s="158"/>
      <c r="F305" s="158"/>
      <c r="G305" s="158"/>
    </row>
    <row r="306">
      <c r="A306" s="158"/>
      <c r="B306" s="158"/>
      <c r="C306" s="158"/>
      <c r="D306" s="158"/>
      <c r="E306" s="158"/>
      <c r="F306" s="158"/>
      <c r="G306" s="158"/>
    </row>
    <row r="307">
      <c r="A307" s="158"/>
      <c r="B307" s="158"/>
      <c r="C307" s="158"/>
      <c r="D307" s="158"/>
      <c r="E307" s="158"/>
      <c r="F307" s="158"/>
      <c r="G307" s="158"/>
    </row>
    <row r="308">
      <c r="A308" s="158"/>
      <c r="B308" s="158"/>
      <c r="C308" s="158"/>
      <c r="D308" s="158"/>
      <c r="E308" s="158"/>
      <c r="F308" s="158"/>
      <c r="G308" s="158"/>
    </row>
    <row r="309">
      <c r="A309" s="158"/>
      <c r="B309" s="158"/>
      <c r="C309" s="158"/>
      <c r="D309" s="158"/>
      <c r="E309" s="158"/>
      <c r="F309" s="158"/>
      <c r="G309" s="158"/>
    </row>
    <row r="310">
      <c r="A310" s="158"/>
      <c r="B310" s="158"/>
      <c r="C310" s="158"/>
      <c r="D310" s="158"/>
      <c r="E310" s="158"/>
      <c r="F310" s="158"/>
      <c r="G310" s="158"/>
    </row>
    <row r="311">
      <c r="A311" s="158"/>
      <c r="B311" s="158"/>
      <c r="C311" s="158"/>
      <c r="D311" s="158"/>
      <c r="E311" s="158"/>
      <c r="F311" s="158"/>
      <c r="G311" s="158"/>
    </row>
    <row r="312">
      <c r="A312" s="158"/>
      <c r="B312" s="158"/>
      <c r="C312" s="158"/>
      <c r="D312" s="158"/>
      <c r="E312" s="158"/>
      <c r="F312" s="158"/>
      <c r="G312" s="158"/>
    </row>
    <row r="313">
      <c r="A313" s="158"/>
      <c r="B313" s="158"/>
      <c r="C313" s="158"/>
      <c r="D313" s="158"/>
      <c r="E313" s="158"/>
      <c r="F313" s="158"/>
      <c r="G313" s="158"/>
    </row>
    <row r="314">
      <c r="A314" s="158"/>
      <c r="B314" s="158"/>
      <c r="C314" s="158"/>
      <c r="D314" s="158"/>
      <c r="E314" s="158"/>
      <c r="F314" s="158"/>
      <c r="G314" s="158"/>
    </row>
    <row r="315">
      <c r="A315" s="158"/>
      <c r="B315" s="158"/>
      <c r="C315" s="158"/>
      <c r="D315" s="158"/>
      <c r="E315" s="158"/>
      <c r="F315" s="158"/>
      <c r="G315" s="158"/>
    </row>
    <row r="316">
      <c r="A316" s="158"/>
      <c r="B316" s="158"/>
      <c r="C316" s="158"/>
      <c r="D316" s="158"/>
      <c r="E316" s="158"/>
      <c r="F316" s="158"/>
      <c r="G316" s="158"/>
    </row>
    <row r="317">
      <c r="A317" s="158"/>
      <c r="B317" s="158"/>
      <c r="C317" s="158"/>
      <c r="D317" s="158"/>
      <c r="E317" s="158"/>
      <c r="F317" s="158"/>
      <c r="G317" s="158"/>
    </row>
    <row r="318">
      <c r="A318" s="158"/>
      <c r="B318" s="158"/>
      <c r="C318" s="158"/>
      <c r="D318" s="158"/>
      <c r="E318" s="158"/>
      <c r="F318" s="158"/>
      <c r="G318" s="158"/>
    </row>
    <row r="319">
      <c r="A319" s="158"/>
      <c r="B319" s="158"/>
      <c r="C319" s="158"/>
      <c r="D319" s="158"/>
      <c r="E319" s="158"/>
      <c r="F319" s="158"/>
      <c r="G319" s="158"/>
    </row>
    <row r="320">
      <c r="A320" s="158"/>
      <c r="B320" s="158"/>
      <c r="C320" s="158"/>
      <c r="D320" s="158"/>
      <c r="E320" s="158"/>
      <c r="F320" s="158"/>
      <c r="G320" s="158"/>
    </row>
    <row r="321">
      <c r="A321" s="158"/>
      <c r="B321" s="158"/>
      <c r="C321" s="158"/>
      <c r="D321" s="158"/>
      <c r="E321" s="158"/>
      <c r="F321" s="158"/>
      <c r="G321" s="158"/>
    </row>
    <row r="322">
      <c r="A322" s="158"/>
      <c r="B322" s="158"/>
      <c r="C322" s="158"/>
      <c r="D322" s="158"/>
      <c r="E322" s="158"/>
      <c r="F322" s="158"/>
      <c r="G322" s="158"/>
    </row>
    <row r="323">
      <c r="A323" s="158"/>
      <c r="B323" s="158"/>
      <c r="C323" s="158"/>
      <c r="D323" s="158"/>
      <c r="E323" s="158"/>
      <c r="F323" s="158"/>
      <c r="G323" s="158"/>
    </row>
    <row r="324">
      <c r="A324" s="158"/>
      <c r="B324" s="158"/>
      <c r="C324" s="158"/>
      <c r="D324" s="158"/>
      <c r="E324" s="158"/>
      <c r="F324" s="158"/>
      <c r="G324" s="158"/>
    </row>
    <row r="325">
      <c r="A325" s="158"/>
      <c r="B325" s="158"/>
      <c r="C325" s="158"/>
      <c r="D325" s="158"/>
      <c r="E325" s="158"/>
      <c r="F325" s="158"/>
      <c r="G325" s="158"/>
    </row>
    <row r="326">
      <c r="A326" s="158"/>
      <c r="B326" s="158"/>
      <c r="C326" s="158"/>
      <c r="D326" s="158"/>
      <c r="E326" s="158"/>
      <c r="F326" s="158"/>
      <c r="G326" s="158"/>
    </row>
    <row r="327">
      <c r="A327" s="158"/>
      <c r="B327" s="158"/>
      <c r="C327" s="158"/>
      <c r="D327" s="158"/>
      <c r="E327" s="158"/>
      <c r="F327" s="158"/>
      <c r="G327" s="158"/>
    </row>
    <row r="328">
      <c r="A328" s="158"/>
      <c r="B328" s="158"/>
      <c r="C328" s="158"/>
      <c r="D328" s="158"/>
      <c r="E328" s="158"/>
      <c r="F328" s="158"/>
      <c r="G328" s="158"/>
    </row>
    <row r="329">
      <c r="A329" s="158"/>
      <c r="B329" s="158"/>
      <c r="C329" s="158"/>
      <c r="D329" s="158"/>
      <c r="E329" s="158"/>
      <c r="F329" s="158"/>
      <c r="G329" s="158"/>
    </row>
    <row r="330">
      <c r="A330" s="158"/>
      <c r="B330" s="158"/>
      <c r="C330" s="158"/>
      <c r="D330" s="158"/>
      <c r="E330" s="158"/>
      <c r="F330" s="158"/>
      <c r="G330" s="158"/>
    </row>
    <row r="331">
      <c r="A331" s="158"/>
      <c r="B331" s="158"/>
      <c r="C331" s="158"/>
      <c r="D331" s="158"/>
      <c r="E331" s="158"/>
      <c r="F331" s="158"/>
      <c r="G331" s="158"/>
    </row>
    <row r="332">
      <c r="A332" s="158"/>
      <c r="B332" s="158"/>
      <c r="C332" s="158"/>
      <c r="D332" s="158"/>
      <c r="E332" s="158"/>
      <c r="F332" s="158"/>
      <c r="G332" s="158"/>
    </row>
    <row r="333">
      <c r="A333" s="158"/>
      <c r="B333" s="158"/>
      <c r="C333" s="158"/>
      <c r="D333" s="158"/>
      <c r="E333" s="158"/>
      <c r="F333" s="158"/>
      <c r="G333" s="158"/>
    </row>
    <row r="334">
      <c r="A334" s="158"/>
      <c r="B334" s="158"/>
      <c r="C334" s="158"/>
      <c r="D334" s="158"/>
      <c r="E334" s="158"/>
      <c r="F334" s="158"/>
      <c r="G334" s="158"/>
    </row>
    <row r="335">
      <c r="A335" s="158"/>
      <c r="B335" s="158"/>
      <c r="C335" s="158"/>
      <c r="D335" s="158"/>
      <c r="E335" s="158"/>
      <c r="F335" s="158"/>
      <c r="G335" s="158"/>
    </row>
    <row r="336">
      <c r="A336" s="158"/>
      <c r="B336" s="158"/>
      <c r="C336" s="158"/>
      <c r="D336" s="158"/>
      <c r="E336" s="158"/>
      <c r="F336" s="158"/>
      <c r="G336" s="158"/>
    </row>
    <row r="337">
      <c r="A337" s="158"/>
      <c r="B337" s="158"/>
      <c r="C337" s="158"/>
      <c r="D337" s="158"/>
      <c r="E337" s="158"/>
      <c r="F337" s="158"/>
      <c r="G337" s="158"/>
    </row>
    <row r="338">
      <c r="A338" s="158"/>
      <c r="B338" s="158"/>
      <c r="C338" s="158"/>
      <c r="D338" s="158"/>
      <c r="E338" s="158"/>
      <c r="F338" s="158"/>
      <c r="G338" s="158"/>
    </row>
    <row r="339">
      <c r="A339" s="158"/>
      <c r="B339" s="158"/>
      <c r="C339" s="158"/>
      <c r="D339" s="158"/>
      <c r="E339" s="158"/>
      <c r="F339" s="158"/>
      <c r="G339" s="158"/>
    </row>
    <row r="340">
      <c r="A340" s="158"/>
      <c r="B340" s="158"/>
      <c r="C340" s="158"/>
      <c r="D340" s="158"/>
      <c r="E340" s="158"/>
      <c r="F340" s="158"/>
      <c r="G340" s="158"/>
    </row>
    <row r="341">
      <c r="A341" s="158"/>
      <c r="B341" s="158"/>
      <c r="C341" s="158"/>
      <c r="D341" s="158"/>
      <c r="E341" s="158"/>
      <c r="F341" s="158"/>
      <c r="G341" s="158"/>
    </row>
    <row r="342">
      <c r="A342" s="158"/>
      <c r="B342" s="158"/>
      <c r="C342" s="158"/>
      <c r="D342" s="158"/>
      <c r="E342" s="158"/>
      <c r="F342" s="158"/>
      <c r="G342" s="158"/>
    </row>
    <row r="343">
      <c r="A343" s="158"/>
      <c r="B343" s="158"/>
      <c r="C343" s="158"/>
      <c r="D343" s="158"/>
      <c r="E343" s="158"/>
      <c r="F343" s="158"/>
      <c r="G343" s="158"/>
    </row>
    <row r="344">
      <c r="A344" s="158"/>
      <c r="B344" s="158"/>
      <c r="C344" s="158"/>
      <c r="D344" s="158"/>
      <c r="E344" s="158"/>
      <c r="F344" s="158"/>
      <c r="G344" s="158"/>
    </row>
    <row r="345">
      <c r="A345" s="158"/>
      <c r="B345" s="158"/>
      <c r="C345" s="158"/>
      <c r="D345" s="158"/>
      <c r="E345" s="158"/>
      <c r="F345" s="158"/>
      <c r="G345" s="158"/>
    </row>
    <row r="346">
      <c r="A346" s="158"/>
      <c r="B346" s="158"/>
      <c r="C346" s="158"/>
      <c r="D346" s="158"/>
      <c r="E346" s="158"/>
      <c r="F346" s="158"/>
      <c r="G346" s="158"/>
    </row>
    <row r="347">
      <c r="A347" s="158"/>
      <c r="B347" s="158"/>
      <c r="C347" s="158"/>
      <c r="D347" s="158"/>
      <c r="E347" s="158"/>
      <c r="F347" s="158"/>
      <c r="G347" s="158"/>
    </row>
    <row r="348">
      <c r="A348" s="158"/>
      <c r="B348" s="158"/>
      <c r="C348" s="158"/>
      <c r="D348" s="158"/>
      <c r="E348" s="158"/>
      <c r="F348" s="158"/>
      <c r="G348" s="158"/>
    </row>
    <row r="349">
      <c r="A349" s="158"/>
      <c r="B349" s="158"/>
      <c r="C349" s="158"/>
      <c r="D349" s="158"/>
      <c r="E349" s="158"/>
      <c r="F349" s="158"/>
      <c r="G349" s="158"/>
    </row>
    <row r="350">
      <c r="A350" s="158"/>
      <c r="B350" s="158"/>
      <c r="C350" s="158"/>
      <c r="D350" s="158"/>
      <c r="E350" s="158"/>
      <c r="F350" s="158"/>
      <c r="G350" s="158"/>
    </row>
    <row r="351">
      <c r="A351" s="158"/>
      <c r="B351" s="158"/>
      <c r="C351" s="158"/>
      <c r="D351" s="158"/>
      <c r="E351" s="158"/>
      <c r="F351" s="158"/>
      <c r="G351" s="158"/>
    </row>
    <row r="352">
      <c r="A352" s="158"/>
      <c r="B352" s="158"/>
      <c r="C352" s="158"/>
      <c r="D352" s="158"/>
      <c r="E352" s="158"/>
      <c r="F352" s="158"/>
      <c r="G352" s="158"/>
    </row>
    <row r="353">
      <c r="A353" s="158"/>
      <c r="B353" s="158"/>
      <c r="C353" s="158"/>
      <c r="D353" s="158"/>
      <c r="E353" s="158"/>
      <c r="F353" s="158"/>
      <c r="G353" s="158"/>
    </row>
    <row r="354">
      <c r="A354" s="158"/>
      <c r="B354" s="158"/>
      <c r="C354" s="158"/>
      <c r="D354" s="158"/>
      <c r="E354" s="158"/>
      <c r="F354" s="158"/>
      <c r="G354" s="158"/>
    </row>
    <row r="355">
      <c r="A355" s="158"/>
      <c r="B355" s="158"/>
      <c r="C355" s="158"/>
      <c r="D355" s="158"/>
      <c r="E355" s="158"/>
      <c r="F355" s="158"/>
      <c r="G355" s="158"/>
    </row>
    <row r="356">
      <c r="A356" s="158"/>
      <c r="B356" s="158"/>
      <c r="C356" s="158"/>
      <c r="D356" s="158"/>
      <c r="E356" s="158"/>
      <c r="F356" s="158"/>
      <c r="G356" s="158"/>
    </row>
    <row r="357">
      <c r="A357" s="158"/>
      <c r="B357" s="158"/>
      <c r="C357" s="158"/>
      <c r="D357" s="158"/>
      <c r="E357" s="158"/>
      <c r="F357" s="158"/>
      <c r="G357" s="158"/>
    </row>
    <row r="358">
      <c r="A358" s="158"/>
      <c r="B358" s="158"/>
      <c r="C358" s="158"/>
      <c r="D358" s="158"/>
      <c r="E358" s="158"/>
      <c r="F358" s="158"/>
      <c r="G358" s="158"/>
    </row>
    <row r="359">
      <c r="A359" s="158"/>
      <c r="B359" s="158"/>
      <c r="C359" s="158"/>
      <c r="D359" s="158"/>
      <c r="E359" s="158"/>
      <c r="F359" s="158"/>
      <c r="G359" s="158"/>
    </row>
    <row r="360">
      <c r="A360" s="158"/>
      <c r="B360" s="158"/>
      <c r="C360" s="158"/>
      <c r="D360" s="158"/>
      <c r="E360" s="158"/>
      <c r="F360" s="158"/>
      <c r="G360" s="158"/>
    </row>
    <row r="361">
      <c r="A361" s="158"/>
      <c r="B361" s="158"/>
      <c r="C361" s="158"/>
      <c r="D361" s="158"/>
      <c r="E361" s="158"/>
      <c r="F361" s="158"/>
      <c r="G361" s="158"/>
    </row>
    <row r="362">
      <c r="A362" s="158"/>
      <c r="B362" s="158"/>
      <c r="C362" s="158"/>
      <c r="D362" s="158"/>
      <c r="E362" s="158"/>
      <c r="F362" s="158"/>
      <c r="G362" s="158"/>
    </row>
    <row r="363">
      <c r="A363" s="158"/>
      <c r="B363" s="158"/>
      <c r="C363" s="158"/>
      <c r="D363" s="158"/>
      <c r="E363" s="158"/>
      <c r="F363" s="158"/>
      <c r="G363" s="158"/>
    </row>
    <row r="364">
      <c r="A364" s="158"/>
      <c r="B364" s="158"/>
      <c r="C364" s="158"/>
      <c r="D364" s="158"/>
      <c r="E364" s="158"/>
      <c r="F364" s="158"/>
      <c r="G364" s="158"/>
    </row>
    <row r="365">
      <c r="A365" s="158"/>
      <c r="B365" s="158"/>
      <c r="C365" s="158"/>
      <c r="D365" s="158"/>
      <c r="E365" s="158"/>
      <c r="F365" s="158"/>
      <c r="G365" s="158"/>
    </row>
    <row r="366">
      <c r="A366" s="158"/>
      <c r="B366" s="158"/>
      <c r="C366" s="158"/>
      <c r="D366" s="158"/>
      <c r="E366" s="158"/>
      <c r="F366" s="158"/>
      <c r="G366" s="158"/>
    </row>
    <row r="367">
      <c r="A367" s="158"/>
      <c r="B367" s="158"/>
      <c r="C367" s="158"/>
      <c r="D367" s="158"/>
      <c r="E367" s="158"/>
      <c r="F367" s="158"/>
      <c r="G367" s="158"/>
    </row>
    <row r="368">
      <c r="A368" s="158"/>
      <c r="B368" s="158"/>
      <c r="C368" s="158"/>
      <c r="D368" s="158"/>
      <c r="E368" s="158"/>
      <c r="F368" s="158"/>
      <c r="G368" s="158"/>
    </row>
    <row r="369">
      <c r="A369" s="158"/>
      <c r="B369" s="158"/>
      <c r="C369" s="158"/>
      <c r="D369" s="158"/>
      <c r="E369" s="158"/>
      <c r="F369" s="158"/>
      <c r="G369" s="158"/>
    </row>
    <row r="370">
      <c r="A370" s="158"/>
      <c r="B370" s="158"/>
      <c r="C370" s="158"/>
      <c r="D370" s="158"/>
      <c r="E370" s="158"/>
      <c r="F370" s="158"/>
      <c r="G370" s="158"/>
    </row>
    <row r="371">
      <c r="A371" s="158"/>
      <c r="B371" s="158"/>
      <c r="C371" s="158"/>
      <c r="D371" s="158"/>
      <c r="E371" s="158"/>
      <c r="F371" s="158"/>
      <c r="G371" s="158"/>
    </row>
    <row r="372">
      <c r="A372" s="158"/>
      <c r="B372" s="158"/>
      <c r="C372" s="158"/>
      <c r="D372" s="158"/>
      <c r="E372" s="158"/>
      <c r="F372" s="158"/>
      <c r="G372" s="158"/>
    </row>
    <row r="373">
      <c r="A373" s="158"/>
      <c r="B373" s="158"/>
      <c r="C373" s="158"/>
      <c r="D373" s="158"/>
      <c r="E373" s="158"/>
      <c r="F373" s="158"/>
      <c r="G373" s="158"/>
    </row>
    <row r="374">
      <c r="A374" s="158"/>
      <c r="B374" s="158"/>
      <c r="C374" s="158"/>
      <c r="D374" s="158"/>
      <c r="E374" s="158"/>
      <c r="F374" s="158"/>
      <c r="G374" s="158"/>
    </row>
    <row r="375">
      <c r="A375" s="158"/>
      <c r="B375" s="158"/>
      <c r="C375" s="158"/>
      <c r="D375" s="158"/>
      <c r="E375" s="158"/>
      <c r="F375" s="158"/>
      <c r="G375" s="158"/>
    </row>
    <row r="376">
      <c r="A376" s="158"/>
      <c r="B376" s="158"/>
      <c r="C376" s="158"/>
      <c r="D376" s="158"/>
      <c r="E376" s="158"/>
      <c r="F376" s="158"/>
      <c r="G376" s="158"/>
    </row>
    <row r="377">
      <c r="A377" s="158"/>
      <c r="B377" s="158"/>
      <c r="C377" s="158"/>
      <c r="D377" s="158"/>
      <c r="E377" s="158"/>
      <c r="F377" s="158"/>
      <c r="G377" s="158"/>
    </row>
    <row r="378">
      <c r="A378" s="158"/>
      <c r="B378" s="158"/>
      <c r="C378" s="158"/>
      <c r="D378" s="158"/>
      <c r="E378" s="158"/>
      <c r="F378" s="158"/>
      <c r="G378" s="158"/>
    </row>
    <row r="379">
      <c r="A379" s="158"/>
      <c r="B379" s="158"/>
      <c r="C379" s="158"/>
      <c r="D379" s="158"/>
      <c r="E379" s="158"/>
      <c r="F379" s="158"/>
      <c r="G379" s="158"/>
    </row>
    <row r="380">
      <c r="A380" s="158"/>
      <c r="B380" s="158"/>
      <c r="C380" s="158"/>
      <c r="D380" s="158"/>
      <c r="E380" s="158"/>
      <c r="F380" s="158"/>
      <c r="G380" s="158"/>
    </row>
    <row r="381">
      <c r="A381" s="158"/>
      <c r="B381" s="158"/>
      <c r="C381" s="158"/>
      <c r="D381" s="158"/>
      <c r="E381" s="158"/>
      <c r="F381" s="158"/>
      <c r="G381" s="158"/>
    </row>
    <row r="382">
      <c r="A382" s="158"/>
      <c r="B382" s="158"/>
      <c r="C382" s="158"/>
      <c r="D382" s="158"/>
      <c r="E382" s="158"/>
      <c r="F382" s="158"/>
      <c r="G382" s="158"/>
    </row>
    <row r="383">
      <c r="A383" s="158"/>
      <c r="B383" s="158"/>
      <c r="C383" s="158"/>
      <c r="D383" s="158"/>
      <c r="E383" s="158"/>
      <c r="F383" s="158"/>
      <c r="G383" s="158"/>
    </row>
    <row r="384">
      <c r="A384" s="158"/>
      <c r="B384" s="158"/>
      <c r="C384" s="158"/>
      <c r="D384" s="158"/>
      <c r="E384" s="158"/>
      <c r="F384" s="158"/>
      <c r="G384" s="158"/>
    </row>
    <row r="385">
      <c r="A385" s="158"/>
      <c r="B385" s="158"/>
      <c r="C385" s="158"/>
      <c r="D385" s="158"/>
      <c r="E385" s="158"/>
      <c r="F385" s="158"/>
      <c r="G385" s="158"/>
    </row>
    <row r="386">
      <c r="A386" s="158"/>
      <c r="B386" s="158"/>
      <c r="C386" s="158"/>
      <c r="D386" s="158"/>
      <c r="E386" s="158"/>
      <c r="F386" s="158"/>
      <c r="G386" s="158"/>
    </row>
    <row r="387">
      <c r="A387" s="158"/>
      <c r="B387" s="158"/>
      <c r="C387" s="158"/>
      <c r="D387" s="158"/>
      <c r="E387" s="158"/>
      <c r="F387" s="158"/>
      <c r="G387" s="158"/>
    </row>
    <row r="388">
      <c r="A388" s="158"/>
      <c r="B388" s="158"/>
      <c r="C388" s="158"/>
      <c r="D388" s="158"/>
      <c r="E388" s="158"/>
      <c r="F388" s="158"/>
      <c r="G388" s="158"/>
    </row>
    <row r="389">
      <c r="A389" s="158"/>
      <c r="B389" s="158"/>
      <c r="C389" s="158"/>
      <c r="D389" s="158"/>
      <c r="E389" s="158"/>
      <c r="F389" s="158"/>
      <c r="G389" s="158"/>
    </row>
    <row r="390">
      <c r="A390" s="158"/>
      <c r="B390" s="158"/>
      <c r="C390" s="158"/>
      <c r="D390" s="158"/>
      <c r="E390" s="158"/>
      <c r="F390" s="158"/>
      <c r="G390" s="158"/>
    </row>
    <row r="391">
      <c r="A391" s="158"/>
      <c r="B391" s="158"/>
      <c r="C391" s="158"/>
      <c r="D391" s="158"/>
      <c r="E391" s="158"/>
      <c r="F391" s="158"/>
      <c r="G391" s="158"/>
    </row>
    <row r="392">
      <c r="A392" s="158"/>
      <c r="B392" s="158"/>
      <c r="C392" s="158"/>
      <c r="D392" s="158"/>
      <c r="E392" s="158"/>
      <c r="F392" s="158"/>
      <c r="G392" s="158"/>
    </row>
    <row r="393">
      <c r="A393" s="158"/>
      <c r="B393" s="158"/>
      <c r="C393" s="158"/>
      <c r="D393" s="158"/>
      <c r="E393" s="158"/>
      <c r="F393" s="158"/>
      <c r="G393" s="158"/>
    </row>
    <row r="394">
      <c r="A394" s="158"/>
      <c r="B394" s="158"/>
      <c r="C394" s="158"/>
      <c r="D394" s="158"/>
      <c r="E394" s="158"/>
      <c r="F394" s="158"/>
      <c r="G394" s="158"/>
    </row>
    <row r="395">
      <c r="A395" s="158"/>
      <c r="B395" s="158"/>
      <c r="C395" s="158"/>
      <c r="D395" s="158"/>
      <c r="E395" s="158"/>
      <c r="F395" s="158"/>
      <c r="G395" s="158"/>
    </row>
    <row r="396">
      <c r="A396" s="158"/>
      <c r="B396" s="158"/>
      <c r="C396" s="158"/>
      <c r="D396" s="158"/>
      <c r="E396" s="158"/>
      <c r="F396" s="158"/>
      <c r="G396" s="158"/>
    </row>
    <row r="397">
      <c r="A397" s="158"/>
      <c r="B397" s="158"/>
      <c r="C397" s="158"/>
      <c r="D397" s="158"/>
      <c r="E397" s="158"/>
      <c r="F397" s="158"/>
      <c r="G397" s="158"/>
    </row>
    <row r="398">
      <c r="A398" s="158"/>
      <c r="B398" s="158"/>
      <c r="C398" s="158"/>
      <c r="D398" s="158"/>
      <c r="E398" s="158"/>
      <c r="F398" s="158"/>
      <c r="G398" s="158"/>
    </row>
    <row r="399">
      <c r="A399" s="158"/>
      <c r="B399" s="158"/>
      <c r="C399" s="158"/>
      <c r="D399" s="158"/>
      <c r="E399" s="158"/>
      <c r="F399" s="158"/>
      <c r="G399" s="158"/>
    </row>
    <row r="400">
      <c r="A400" s="158"/>
      <c r="B400" s="158"/>
      <c r="C400" s="158"/>
      <c r="D400" s="158"/>
      <c r="E400" s="158"/>
      <c r="F400" s="158"/>
      <c r="G400" s="158"/>
    </row>
    <row r="401">
      <c r="A401" s="158"/>
      <c r="B401" s="158"/>
      <c r="C401" s="158"/>
      <c r="D401" s="158"/>
      <c r="E401" s="158"/>
      <c r="F401" s="158"/>
      <c r="G401" s="158"/>
    </row>
    <row r="402">
      <c r="A402" s="158"/>
      <c r="B402" s="158"/>
      <c r="C402" s="158"/>
      <c r="D402" s="158"/>
      <c r="E402" s="158"/>
      <c r="F402" s="158"/>
      <c r="G402" s="158"/>
    </row>
    <row r="403">
      <c r="A403" s="158"/>
      <c r="B403" s="158"/>
      <c r="C403" s="158"/>
      <c r="D403" s="158"/>
      <c r="E403" s="158"/>
      <c r="F403" s="158"/>
      <c r="G403" s="158"/>
    </row>
    <row r="404">
      <c r="A404" s="158"/>
      <c r="B404" s="158"/>
      <c r="C404" s="158"/>
      <c r="D404" s="158"/>
      <c r="E404" s="158"/>
      <c r="F404" s="158"/>
      <c r="G404" s="158"/>
    </row>
    <row r="405">
      <c r="A405" s="158"/>
      <c r="B405" s="158"/>
      <c r="C405" s="158"/>
      <c r="D405" s="158"/>
      <c r="E405" s="158"/>
      <c r="F405" s="158"/>
      <c r="G405" s="158"/>
    </row>
    <row r="406">
      <c r="A406" s="158"/>
      <c r="B406" s="158"/>
      <c r="C406" s="158"/>
      <c r="D406" s="158"/>
      <c r="E406" s="158"/>
      <c r="F406" s="158"/>
      <c r="G406" s="158"/>
    </row>
    <row r="407">
      <c r="A407" s="158"/>
      <c r="B407" s="158"/>
      <c r="C407" s="158"/>
      <c r="D407" s="158"/>
      <c r="E407" s="158"/>
      <c r="F407" s="158"/>
      <c r="G407" s="158"/>
    </row>
    <row r="408">
      <c r="A408" s="158"/>
      <c r="B408" s="158"/>
      <c r="C408" s="158"/>
      <c r="D408" s="158"/>
      <c r="E408" s="158"/>
      <c r="F408" s="158"/>
      <c r="G408" s="158"/>
    </row>
    <row r="409">
      <c r="A409" s="158"/>
      <c r="B409" s="158"/>
      <c r="C409" s="158"/>
      <c r="D409" s="158"/>
      <c r="E409" s="158"/>
      <c r="F409" s="158"/>
      <c r="G409" s="158"/>
    </row>
    <row r="410">
      <c r="A410" s="158"/>
      <c r="B410" s="158"/>
      <c r="C410" s="158"/>
      <c r="D410" s="158"/>
      <c r="E410" s="158"/>
      <c r="F410" s="158"/>
      <c r="G410" s="158"/>
    </row>
    <row r="411">
      <c r="A411" s="158"/>
      <c r="B411" s="158"/>
      <c r="C411" s="158"/>
      <c r="D411" s="158"/>
      <c r="E411" s="158"/>
      <c r="F411" s="158"/>
      <c r="G411" s="158"/>
    </row>
    <row r="412">
      <c r="A412" s="158"/>
      <c r="B412" s="158"/>
      <c r="C412" s="158"/>
      <c r="D412" s="158"/>
      <c r="E412" s="158"/>
      <c r="F412" s="158"/>
      <c r="G412" s="158"/>
    </row>
    <row r="413">
      <c r="A413" s="158"/>
      <c r="B413" s="158"/>
      <c r="C413" s="158"/>
      <c r="D413" s="158"/>
      <c r="E413" s="158"/>
      <c r="F413" s="158"/>
      <c r="G413" s="158"/>
    </row>
    <row r="414">
      <c r="A414" s="158"/>
      <c r="B414" s="158"/>
      <c r="C414" s="158"/>
      <c r="D414" s="158"/>
      <c r="E414" s="158"/>
      <c r="F414" s="158"/>
      <c r="G414" s="158"/>
    </row>
    <row r="415">
      <c r="A415" s="158"/>
      <c r="B415" s="158"/>
      <c r="C415" s="158"/>
      <c r="D415" s="158"/>
      <c r="E415" s="158"/>
      <c r="F415" s="158"/>
      <c r="G415" s="158"/>
    </row>
    <row r="416">
      <c r="A416" s="158"/>
      <c r="B416" s="158"/>
      <c r="C416" s="158"/>
      <c r="D416" s="158"/>
      <c r="E416" s="158"/>
      <c r="F416" s="158"/>
      <c r="G416" s="158"/>
    </row>
    <row r="417">
      <c r="A417" s="158"/>
      <c r="B417" s="158"/>
      <c r="C417" s="158"/>
      <c r="D417" s="158"/>
      <c r="E417" s="158"/>
      <c r="F417" s="158"/>
      <c r="G417" s="158"/>
    </row>
    <row r="418">
      <c r="A418" s="158"/>
      <c r="B418" s="158"/>
      <c r="C418" s="158"/>
      <c r="D418" s="158"/>
      <c r="E418" s="158"/>
      <c r="F418" s="158"/>
      <c r="G418" s="158"/>
    </row>
    <row r="419">
      <c r="A419" s="158"/>
      <c r="B419" s="158"/>
      <c r="C419" s="158"/>
      <c r="D419" s="158"/>
      <c r="E419" s="158"/>
      <c r="F419" s="158"/>
      <c r="G419" s="158"/>
    </row>
    <row r="420">
      <c r="A420" s="158"/>
      <c r="B420" s="158"/>
      <c r="C420" s="158"/>
      <c r="D420" s="158"/>
      <c r="E420" s="158"/>
      <c r="F420" s="158"/>
      <c r="G420" s="158"/>
    </row>
    <row r="421">
      <c r="A421" s="158"/>
      <c r="B421" s="158"/>
      <c r="C421" s="158"/>
      <c r="D421" s="158"/>
      <c r="E421" s="158"/>
      <c r="F421" s="158"/>
      <c r="G421" s="158"/>
    </row>
    <row r="422">
      <c r="A422" s="158"/>
      <c r="B422" s="158"/>
      <c r="C422" s="158"/>
      <c r="D422" s="158"/>
      <c r="E422" s="158"/>
      <c r="F422" s="158"/>
      <c r="G422" s="158"/>
    </row>
    <row r="423">
      <c r="A423" s="158"/>
      <c r="B423" s="158"/>
      <c r="C423" s="158"/>
      <c r="D423" s="158"/>
      <c r="E423" s="158"/>
      <c r="F423" s="158"/>
      <c r="G423" s="158"/>
    </row>
    <row r="424">
      <c r="A424" s="158"/>
      <c r="B424" s="158"/>
      <c r="C424" s="158"/>
      <c r="D424" s="158"/>
      <c r="E424" s="158"/>
      <c r="F424" s="158"/>
      <c r="G424" s="158"/>
    </row>
    <row r="425">
      <c r="A425" s="158"/>
      <c r="B425" s="158"/>
      <c r="C425" s="158"/>
      <c r="D425" s="158"/>
      <c r="E425" s="158"/>
      <c r="F425" s="158"/>
      <c r="G425" s="158"/>
    </row>
    <row r="426">
      <c r="A426" s="158"/>
      <c r="B426" s="158"/>
      <c r="C426" s="158"/>
      <c r="D426" s="158"/>
      <c r="E426" s="158"/>
      <c r="F426" s="158"/>
      <c r="G426" s="158"/>
    </row>
    <row r="427">
      <c r="A427" s="158"/>
      <c r="B427" s="158"/>
      <c r="C427" s="158"/>
      <c r="D427" s="158"/>
      <c r="E427" s="158"/>
      <c r="F427" s="158"/>
      <c r="G427" s="158"/>
    </row>
    <row r="428">
      <c r="A428" s="158"/>
      <c r="B428" s="158"/>
      <c r="C428" s="158"/>
      <c r="D428" s="158"/>
      <c r="E428" s="158"/>
      <c r="F428" s="158"/>
      <c r="G428" s="158"/>
    </row>
    <row r="429">
      <c r="A429" s="158"/>
      <c r="B429" s="158"/>
      <c r="C429" s="158"/>
      <c r="D429" s="158"/>
      <c r="E429" s="158"/>
      <c r="F429" s="158"/>
      <c r="G429" s="158"/>
    </row>
    <row r="430">
      <c r="A430" s="158"/>
      <c r="B430" s="158"/>
      <c r="C430" s="158"/>
      <c r="D430" s="158"/>
      <c r="E430" s="158"/>
      <c r="F430" s="158"/>
      <c r="G430" s="158"/>
    </row>
    <row r="431">
      <c r="A431" s="158"/>
      <c r="B431" s="158"/>
      <c r="C431" s="158"/>
      <c r="D431" s="158"/>
      <c r="E431" s="158"/>
      <c r="F431" s="158"/>
      <c r="G431" s="158"/>
    </row>
    <row r="432">
      <c r="A432" s="158"/>
      <c r="B432" s="158"/>
      <c r="C432" s="158"/>
      <c r="D432" s="158"/>
      <c r="E432" s="158"/>
      <c r="F432" s="158"/>
      <c r="G432" s="158"/>
    </row>
    <row r="433">
      <c r="A433" s="158"/>
      <c r="B433" s="158"/>
      <c r="C433" s="158"/>
      <c r="D433" s="158"/>
      <c r="E433" s="158"/>
      <c r="F433" s="158"/>
      <c r="G433" s="158"/>
    </row>
    <row r="434">
      <c r="A434" s="158"/>
      <c r="B434" s="158"/>
      <c r="C434" s="158"/>
      <c r="D434" s="158"/>
      <c r="E434" s="158"/>
      <c r="F434" s="158"/>
      <c r="G434" s="158"/>
    </row>
    <row r="435">
      <c r="A435" s="158"/>
      <c r="B435" s="158"/>
      <c r="C435" s="158"/>
      <c r="D435" s="158"/>
      <c r="E435" s="158"/>
      <c r="F435" s="158"/>
      <c r="G435" s="158"/>
    </row>
    <row r="436">
      <c r="A436" s="158"/>
      <c r="B436" s="158"/>
      <c r="C436" s="158"/>
      <c r="D436" s="158"/>
      <c r="E436" s="158"/>
      <c r="F436" s="158"/>
      <c r="G436" s="158"/>
    </row>
    <row r="437">
      <c r="A437" s="158"/>
      <c r="B437" s="158"/>
      <c r="C437" s="158"/>
      <c r="D437" s="158"/>
      <c r="E437" s="158"/>
      <c r="F437" s="158"/>
      <c r="G437" s="158"/>
    </row>
    <row r="438">
      <c r="A438" s="158"/>
      <c r="B438" s="158"/>
      <c r="C438" s="158"/>
      <c r="D438" s="158"/>
      <c r="E438" s="158"/>
      <c r="F438" s="158"/>
      <c r="G438" s="158"/>
    </row>
    <row r="439">
      <c r="A439" s="158"/>
      <c r="B439" s="158"/>
      <c r="C439" s="158"/>
      <c r="D439" s="158"/>
      <c r="E439" s="158"/>
      <c r="F439" s="158"/>
      <c r="G439" s="158"/>
    </row>
    <row r="440">
      <c r="A440" s="158"/>
      <c r="B440" s="158"/>
      <c r="C440" s="158"/>
      <c r="D440" s="158"/>
      <c r="E440" s="158"/>
      <c r="F440" s="158"/>
      <c r="G440" s="158"/>
    </row>
    <row r="441">
      <c r="A441" s="158"/>
      <c r="B441" s="158"/>
      <c r="C441" s="158"/>
      <c r="D441" s="158"/>
      <c r="E441" s="158"/>
      <c r="F441" s="158"/>
      <c r="G441" s="158"/>
    </row>
    <row r="442">
      <c r="A442" s="158"/>
      <c r="B442" s="158"/>
      <c r="C442" s="158"/>
      <c r="D442" s="158"/>
      <c r="E442" s="158"/>
      <c r="F442" s="158"/>
      <c r="G442" s="158"/>
    </row>
    <row r="443">
      <c r="A443" s="158"/>
      <c r="B443" s="158"/>
      <c r="C443" s="158"/>
      <c r="D443" s="158"/>
      <c r="E443" s="158"/>
      <c r="F443" s="158"/>
      <c r="G443" s="158"/>
    </row>
    <row r="444">
      <c r="A444" s="158"/>
      <c r="B444" s="158"/>
      <c r="C444" s="158"/>
      <c r="D444" s="158"/>
      <c r="E444" s="158"/>
      <c r="F444" s="158"/>
      <c r="G444" s="158"/>
    </row>
    <row r="445">
      <c r="A445" s="158"/>
      <c r="B445" s="158"/>
      <c r="C445" s="158"/>
      <c r="D445" s="158"/>
      <c r="E445" s="158"/>
      <c r="F445" s="158"/>
      <c r="G445" s="158"/>
    </row>
    <row r="446">
      <c r="A446" s="158"/>
      <c r="B446" s="158"/>
      <c r="C446" s="158"/>
      <c r="D446" s="158"/>
      <c r="E446" s="158"/>
      <c r="F446" s="158"/>
      <c r="G446" s="158"/>
    </row>
    <row r="447">
      <c r="A447" s="158"/>
      <c r="B447" s="158"/>
      <c r="C447" s="158"/>
      <c r="D447" s="158"/>
      <c r="E447" s="158"/>
      <c r="F447" s="158"/>
      <c r="G447" s="158"/>
    </row>
    <row r="448">
      <c r="A448" s="158"/>
      <c r="B448" s="158"/>
      <c r="C448" s="158"/>
      <c r="D448" s="158"/>
      <c r="E448" s="158"/>
      <c r="F448" s="158"/>
      <c r="G448" s="158"/>
    </row>
    <row r="449">
      <c r="A449" s="158"/>
      <c r="B449" s="158"/>
      <c r="C449" s="158"/>
      <c r="D449" s="158"/>
      <c r="E449" s="158"/>
      <c r="F449" s="158"/>
      <c r="G449" s="158"/>
    </row>
    <row r="450">
      <c r="A450" s="158"/>
      <c r="B450" s="158"/>
      <c r="C450" s="158"/>
      <c r="D450" s="158"/>
      <c r="E450" s="158"/>
      <c r="F450" s="158"/>
      <c r="G450" s="158"/>
    </row>
    <row r="451">
      <c r="A451" s="158"/>
      <c r="B451" s="158"/>
      <c r="C451" s="158"/>
      <c r="D451" s="158"/>
      <c r="E451" s="158"/>
      <c r="F451" s="158"/>
      <c r="G451" s="158"/>
    </row>
    <row r="452">
      <c r="A452" s="158"/>
      <c r="B452" s="158"/>
      <c r="C452" s="158"/>
      <c r="D452" s="158"/>
      <c r="E452" s="158"/>
      <c r="F452" s="158"/>
      <c r="G452" s="158"/>
    </row>
    <row r="453">
      <c r="A453" s="158"/>
      <c r="B453" s="158"/>
      <c r="C453" s="158"/>
      <c r="D453" s="158"/>
      <c r="E453" s="158"/>
      <c r="F453" s="158"/>
      <c r="G453" s="158"/>
    </row>
    <row r="454">
      <c r="A454" s="158"/>
      <c r="B454" s="158"/>
      <c r="C454" s="158"/>
      <c r="D454" s="158"/>
      <c r="E454" s="158"/>
      <c r="F454" s="158"/>
      <c r="G454" s="158"/>
    </row>
    <row r="455">
      <c r="A455" s="158"/>
      <c r="B455" s="158"/>
      <c r="C455" s="158"/>
      <c r="D455" s="158"/>
      <c r="E455" s="158"/>
      <c r="F455" s="158"/>
      <c r="G455" s="158"/>
    </row>
    <row r="456">
      <c r="A456" s="158"/>
      <c r="B456" s="158"/>
      <c r="C456" s="158"/>
      <c r="D456" s="158"/>
      <c r="E456" s="158"/>
      <c r="F456" s="158"/>
      <c r="G456" s="158"/>
    </row>
    <row r="457">
      <c r="A457" s="158"/>
      <c r="B457" s="158"/>
      <c r="C457" s="158"/>
      <c r="D457" s="158"/>
      <c r="E457" s="158"/>
      <c r="F457" s="158"/>
      <c r="G457" s="158"/>
    </row>
    <row r="458">
      <c r="A458" s="158"/>
      <c r="B458" s="158"/>
      <c r="C458" s="158"/>
      <c r="D458" s="158"/>
      <c r="E458" s="158"/>
      <c r="F458" s="158"/>
      <c r="G458" s="158"/>
    </row>
    <row r="459">
      <c r="A459" s="158"/>
      <c r="B459" s="158"/>
      <c r="C459" s="158"/>
      <c r="D459" s="158"/>
      <c r="E459" s="158"/>
      <c r="F459" s="158"/>
      <c r="G459" s="158"/>
    </row>
    <row r="460">
      <c r="A460" s="158"/>
      <c r="B460" s="158"/>
      <c r="C460" s="158"/>
      <c r="D460" s="158"/>
      <c r="E460" s="158"/>
      <c r="F460" s="158"/>
      <c r="G460" s="158"/>
    </row>
    <row r="461">
      <c r="A461" s="158"/>
      <c r="B461" s="158"/>
      <c r="C461" s="158"/>
      <c r="D461" s="158"/>
      <c r="E461" s="158"/>
      <c r="F461" s="158"/>
      <c r="G461" s="158"/>
    </row>
    <row r="462">
      <c r="A462" s="158"/>
      <c r="B462" s="158"/>
      <c r="C462" s="158"/>
      <c r="D462" s="158"/>
      <c r="E462" s="158"/>
      <c r="F462" s="158"/>
      <c r="G462" s="158"/>
    </row>
    <row r="463">
      <c r="A463" s="158"/>
      <c r="B463" s="158"/>
      <c r="C463" s="158"/>
      <c r="D463" s="158"/>
      <c r="E463" s="158"/>
      <c r="F463" s="158"/>
      <c r="G463" s="158"/>
    </row>
    <row r="464">
      <c r="A464" s="158"/>
      <c r="B464" s="158"/>
      <c r="C464" s="158"/>
      <c r="D464" s="158"/>
      <c r="E464" s="158"/>
      <c r="F464" s="158"/>
      <c r="G464" s="158"/>
    </row>
    <row r="465">
      <c r="A465" s="158"/>
      <c r="B465" s="158"/>
      <c r="C465" s="158"/>
      <c r="D465" s="158"/>
      <c r="E465" s="158"/>
      <c r="F465" s="158"/>
      <c r="G465" s="158"/>
    </row>
    <row r="466">
      <c r="A466" s="158"/>
      <c r="B466" s="158"/>
      <c r="C466" s="158"/>
      <c r="D466" s="158"/>
      <c r="E466" s="158"/>
      <c r="F466" s="158"/>
      <c r="G466" s="158"/>
    </row>
    <row r="467">
      <c r="A467" s="158"/>
      <c r="B467" s="158"/>
      <c r="C467" s="158"/>
      <c r="D467" s="158"/>
      <c r="E467" s="158"/>
      <c r="F467" s="158"/>
      <c r="G467" s="158"/>
    </row>
    <row r="468">
      <c r="A468" s="158"/>
      <c r="B468" s="158"/>
      <c r="C468" s="158"/>
      <c r="D468" s="158"/>
      <c r="E468" s="158"/>
      <c r="F468" s="158"/>
      <c r="G468" s="158"/>
    </row>
    <row r="469">
      <c r="A469" s="158"/>
      <c r="B469" s="158"/>
      <c r="C469" s="158"/>
      <c r="D469" s="158"/>
      <c r="E469" s="158"/>
      <c r="F469" s="158"/>
      <c r="G469" s="158"/>
    </row>
    <row r="470">
      <c r="A470" s="158"/>
      <c r="B470" s="158"/>
      <c r="C470" s="158"/>
      <c r="D470" s="158"/>
      <c r="E470" s="158"/>
      <c r="F470" s="158"/>
      <c r="G470" s="158"/>
    </row>
    <row r="471">
      <c r="A471" s="158"/>
      <c r="B471" s="158"/>
      <c r="C471" s="158"/>
      <c r="D471" s="158"/>
      <c r="E471" s="158"/>
      <c r="F471" s="158"/>
      <c r="G471" s="158"/>
    </row>
    <row r="472">
      <c r="A472" s="158"/>
      <c r="B472" s="158"/>
      <c r="C472" s="158"/>
      <c r="D472" s="158"/>
      <c r="E472" s="158"/>
      <c r="F472" s="158"/>
      <c r="G472" s="158"/>
    </row>
    <row r="473">
      <c r="A473" s="158"/>
      <c r="B473" s="158"/>
      <c r="C473" s="158"/>
      <c r="D473" s="158"/>
      <c r="E473" s="158"/>
      <c r="F473" s="158"/>
      <c r="G473" s="158"/>
    </row>
    <row r="474">
      <c r="A474" s="158"/>
      <c r="B474" s="158"/>
      <c r="C474" s="158"/>
      <c r="D474" s="158"/>
      <c r="E474" s="158"/>
      <c r="F474" s="158"/>
      <c r="G474" s="158"/>
    </row>
    <row r="475">
      <c r="A475" s="158"/>
      <c r="B475" s="158"/>
      <c r="C475" s="158"/>
      <c r="D475" s="158"/>
      <c r="E475" s="158"/>
      <c r="F475" s="158"/>
      <c r="G475" s="158"/>
    </row>
    <row r="476">
      <c r="A476" s="158"/>
      <c r="B476" s="158"/>
      <c r="C476" s="158"/>
      <c r="D476" s="158"/>
      <c r="E476" s="158"/>
      <c r="F476" s="158"/>
      <c r="G476" s="158"/>
    </row>
    <row r="477">
      <c r="A477" s="158"/>
      <c r="B477" s="158"/>
      <c r="C477" s="158"/>
      <c r="D477" s="158"/>
      <c r="E477" s="158"/>
      <c r="F477" s="158"/>
      <c r="G477" s="158"/>
    </row>
    <row r="478">
      <c r="A478" s="158"/>
      <c r="B478" s="158"/>
      <c r="C478" s="158"/>
      <c r="D478" s="158"/>
      <c r="E478" s="158"/>
      <c r="F478" s="158"/>
      <c r="G478" s="158"/>
    </row>
    <row r="479">
      <c r="A479" s="158"/>
      <c r="B479" s="158"/>
      <c r="C479" s="158"/>
      <c r="D479" s="158"/>
      <c r="E479" s="158"/>
      <c r="F479" s="158"/>
      <c r="G479" s="158"/>
    </row>
    <row r="480">
      <c r="A480" s="158"/>
      <c r="B480" s="158"/>
      <c r="C480" s="158"/>
      <c r="D480" s="158"/>
      <c r="E480" s="158"/>
      <c r="F480" s="158"/>
      <c r="G480" s="158"/>
    </row>
    <row r="481">
      <c r="A481" s="158"/>
      <c r="B481" s="158"/>
      <c r="C481" s="158"/>
      <c r="D481" s="158"/>
      <c r="E481" s="158"/>
      <c r="F481" s="158"/>
      <c r="G481" s="158"/>
    </row>
    <row r="482">
      <c r="A482" s="158"/>
      <c r="B482" s="158"/>
      <c r="C482" s="158"/>
      <c r="D482" s="158"/>
      <c r="E482" s="158"/>
      <c r="F482" s="158"/>
      <c r="G482" s="158"/>
    </row>
    <row r="483">
      <c r="A483" s="158"/>
      <c r="B483" s="158"/>
      <c r="C483" s="158"/>
      <c r="D483" s="158"/>
      <c r="E483" s="158"/>
      <c r="F483" s="158"/>
      <c r="G483" s="158"/>
    </row>
    <row r="484">
      <c r="A484" s="158"/>
      <c r="B484" s="158"/>
      <c r="C484" s="158"/>
      <c r="D484" s="158"/>
      <c r="E484" s="158"/>
      <c r="F484" s="158"/>
      <c r="G484" s="158"/>
    </row>
    <row r="485">
      <c r="A485" s="158"/>
      <c r="B485" s="158"/>
      <c r="C485" s="158"/>
      <c r="D485" s="158"/>
      <c r="E485" s="158"/>
      <c r="F485" s="158"/>
      <c r="G485" s="158"/>
    </row>
    <row r="486">
      <c r="A486" s="158"/>
      <c r="B486" s="158"/>
      <c r="C486" s="158"/>
      <c r="D486" s="158"/>
      <c r="E486" s="158"/>
      <c r="F486" s="158"/>
      <c r="G486" s="158"/>
    </row>
    <row r="487">
      <c r="A487" s="158"/>
      <c r="B487" s="158"/>
      <c r="C487" s="158"/>
      <c r="D487" s="158"/>
      <c r="E487" s="158"/>
      <c r="F487" s="158"/>
      <c r="G487" s="158"/>
    </row>
    <row r="488">
      <c r="A488" s="158"/>
      <c r="B488" s="158"/>
      <c r="C488" s="158"/>
      <c r="D488" s="158"/>
      <c r="E488" s="158"/>
      <c r="F488" s="158"/>
      <c r="G488" s="158"/>
    </row>
    <row r="489">
      <c r="A489" s="158"/>
      <c r="B489" s="158"/>
      <c r="C489" s="158"/>
      <c r="D489" s="158"/>
      <c r="E489" s="158"/>
      <c r="F489" s="158"/>
      <c r="G489" s="158"/>
    </row>
    <row r="490">
      <c r="A490" s="158"/>
      <c r="B490" s="158"/>
      <c r="C490" s="158"/>
      <c r="D490" s="158"/>
      <c r="E490" s="158"/>
      <c r="F490" s="158"/>
      <c r="G490" s="158"/>
    </row>
    <row r="491">
      <c r="A491" s="158"/>
      <c r="B491" s="158"/>
      <c r="C491" s="158"/>
      <c r="D491" s="158"/>
      <c r="E491" s="158"/>
      <c r="F491" s="158"/>
      <c r="G491" s="158"/>
    </row>
    <row r="492">
      <c r="A492" s="158"/>
      <c r="B492" s="158"/>
      <c r="C492" s="158"/>
      <c r="D492" s="158"/>
      <c r="E492" s="158"/>
      <c r="F492" s="158"/>
      <c r="G492" s="158"/>
    </row>
    <row r="493">
      <c r="A493" s="158"/>
      <c r="B493" s="158"/>
      <c r="C493" s="158"/>
      <c r="D493" s="158"/>
      <c r="E493" s="158"/>
      <c r="F493" s="158"/>
      <c r="G493" s="158"/>
    </row>
    <row r="494">
      <c r="A494" s="158"/>
      <c r="B494" s="158"/>
      <c r="C494" s="158"/>
      <c r="D494" s="158"/>
      <c r="E494" s="158"/>
      <c r="F494" s="158"/>
      <c r="G494" s="158"/>
    </row>
    <row r="495">
      <c r="A495" s="158"/>
      <c r="B495" s="158"/>
      <c r="C495" s="158"/>
      <c r="D495" s="158"/>
      <c r="E495" s="158"/>
      <c r="F495" s="158"/>
      <c r="G495" s="158"/>
    </row>
    <row r="496">
      <c r="A496" s="158"/>
      <c r="B496" s="158"/>
      <c r="C496" s="158"/>
      <c r="D496" s="158"/>
      <c r="E496" s="158"/>
      <c r="F496" s="158"/>
      <c r="G496" s="158"/>
    </row>
    <row r="497">
      <c r="A497" s="158"/>
      <c r="B497" s="158"/>
      <c r="C497" s="158"/>
      <c r="D497" s="158"/>
      <c r="E497" s="158"/>
      <c r="F497" s="158"/>
      <c r="G497" s="158"/>
    </row>
    <row r="498">
      <c r="A498" s="158"/>
      <c r="B498" s="158"/>
      <c r="C498" s="158"/>
      <c r="D498" s="158"/>
      <c r="E498" s="158"/>
      <c r="F498" s="158"/>
      <c r="G498" s="158"/>
    </row>
    <row r="499">
      <c r="A499" s="158"/>
      <c r="B499" s="158"/>
      <c r="C499" s="158"/>
      <c r="D499" s="158"/>
      <c r="E499" s="158"/>
      <c r="F499" s="158"/>
      <c r="G499" s="158"/>
    </row>
    <row r="500">
      <c r="A500" s="158"/>
      <c r="B500" s="158"/>
      <c r="C500" s="158"/>
      <c r="D500" s="158"/>
      <c r="E500" s="158"/>
      <c r="F500" s="158"/>
      <c r="G500" s="158"/>
    </row>
    <row r="501">
      <c r="A501" s="158"/>
      <c r="B501" s="158"/>
      <c r="C501" s="158"/>
      <c r="D501" s="158"/>
      <c r="E501" s="158"/>
      <c r="F501" s="158"/>
      <c r="G501" s="158"/>
    </row>
    <row r="502">
      <c r="A502" s="158"/>
      <c r="B502" s="158"/>
      <c r="C502" s="158"/>
      <c r="D502" s="158"/>
      <c r="E502" s="158"/>
      <c r="F502" s="158"/>
      <c r="G502" s="158"/>
    </row>
    <row r="503">
      <c r="A503" s="158"/>
      <c r="B503" s="158"/>
      <c r="C503" s="158"/>
      <c r="D503" s="158"/>
      <c r="E503" s="158"/>
      <c r="F503" s="158"/>
      <c r="G503" s="158"/>
    </row>
    <row r="504">
      <c r="A504" s="158"/>
      <c r="B504" s="158"/>
      <c r="C504" s="158"/>
      <c r="D504" s="158"/>
      <c r="E504" s="158"/>
      <c r="F504" s="158"/>
      <c r="G504" s="158"/>
    </row>
    <row r="505">
      <c r="A505" s="158"/>
      <c r="B505" s="158"/>
      <c r="C505" s="158"/>
      <c r="D505" s="158"/>
      <c r="E505" s="158"/>
      <c r="F505" s="158"/>
      <c r="G505" s="158"/>
    </row>
    <row r="506">
      <c r="A506" s="158"/>
      <c r="B506" s="158"/>
      <c r="C506" s="158"/>
      <c r="D506" s="158"/>
      <c r="E506" s="158"/>
      <c r="F506" s="158"/>
      <c r="G506" s="158"/>
    </row>
    <row r="507">
      <c r="A507" s="158"/>
      <c r="B507" s="158"/>
      <c r="C507" s="158"/>
      <c r="D507" s="158"/>
      <c r="E507" s="158"/>
      <c r="F507" s="158"/>
      <c r="G507" s="158"/>
    </row>
    <row r="508">
      <c r="A508" s="158"/>
      <c r="B508" s="158"/>
      <c r="C508" s="158"/>
      <c r="D508" s="158"/>
      <c r="E508" s="158"/>
      <c r="F508" s="158"/>
      <c r="G508" s="158"/>
    </row>
    <row r="509">
      <c r="A509" s="158"/>
      <c r="B509" s="158"/>
      <c r="C509" s="158"/>
      <c r="D509" s="158"/>
      <c r="E509" s="158"/>
      <c r="F509" s="158"/>
      <c r="G509" s="158"/>
    </row>
    <row r="510">
      <c r="A510" s="158"/>
      <c r="B510" s="158"/>
      <c r="C510" s="158"/>
      <c r="D510" s="158"/>
      <c r="E510" s="158"/>
      <c r="F510" s="158"/>
      <c r="G510" s="158"/>
    </row>
    <row r="511">
      <c r="A511" s="158"/>
      <c r="B511" s="158"/>
      <c r="C511" s="158"/>
      <c r="D511" s="158"/>
      <c r="E511" s="158"/>
      <c r="F511" s="158"/>
      <c r="G511" s="158"/>
    </row>
    <row r="512">
      <c r="A512" s="158"/>
      <c r="B512" s="158"/>
      <c r="C512" s="158"/>
      <c r="D512" s="158"/>
      <c r="E512" s="158"/>
      <c r="F512" s="158"/>
      <c r="G512" s="158"/>
    </row>
    <row r="513">
      <c r="A513" s="158"/>
      <c r="B513" s="158"/>
      <c r="C513" s="158"/>
      <c r="D513" s="158"/>
      <c r="E513" s="158"/>
      <c r="F513" s="158"/>
      <c r="G513" s="158"/>
    </row>
    <row r="514">
      <c r="A514" s="158"/>
      <c r="B514" s="158"/>
      <c r="C514" s="158"/>
      <c r="D514" s="158"/>
      <c r="E514" s="158"/>
      <c r="F514" s="158"/>
      <c r="G514" s="158"/>
    </row>
    <row r="515">
      <c r="A515" s="158"/>
      <c r="B515" s="158"/>
      <c r="C515" s="158"/>
      <c r="D515" s="158"/>
      <c r="E515" s="158"/>
      <c r="F515" s="158"/>
      <c r="G515" s="158"/>
    </row>
    <row r="516">
      <c r="A516" s="158"/>
      <c r="B516" s="158"/>
      <c r="C516" s="158"/>
      <c r="D516" s="158"/>
      <c r="E516" s="158"/>
      <c r="F516" s="158"/>
      <c r="G516" s="158"/>
    </row>
    <row r="517">
      <c r="A517" s="158"/>
      <c r="B517" s="158"/>
      <c r="C517" s="158"/>
      <c r="D517" s="158"/>
      <c r="E517" s="158"/>
      <c r="F517" s="158"/>
      <c r="G517" s="158"/>
    </row>
    <row r="518">
      <c r="A518" s="158"/>
      <c r="B518" s="158"/>
      <c r="C518" s="158"/>
      <c r="D518" s="158"/>
      <c r="E518" s="158"/>
      <c r="F518" s="158"/>
      <c r="G518" s="158"/>
    </row>
    <row r="519">
      <c r="A519" s="158"/>
      <c r="B519" s="158"/>
      <c r="C519" s="158"/>
      <c r="D519" s="158"/>
      <c r="E519" s="158"/>
      <c r="F519" s="158"/>
      <c r="G519" s="158"/>
    </row>
    <row r="520">
      <c r="A520" s="158"/>
      <c r="B520" s="158"/>
      <c r="C520" s="158"/>
      <c r="D520" s="158"/>
      <c r="E520" s="158"/>
      <c r="F520" s="158"/>
      <c r="G520" s="158"/>
    </row>
    <row r="521">
      <c r="A521" s="158"/>
      <c r="B521" s="158"/>
      <c r="C521" s="158"/>
      <c r="D521" s="158"/>
      <c r="E521" s="158"/>
      <c r="F521" s="158"/>
      <c r="G521" s="158"/>
    </row>
    <row r="522">
      <c r="A522" s="158"/>
      <c r="B522" s="158"/>
      <c r="C522" s="158"/>
      <c r="D522" s="158"/>
      <c r="E522" s="158"/>
      <c r="F522" s="158"/>
      <c r="G522" s="158"/>
    </row>
    <row r="523">
      <c r="A523" s="158"/>
      <c r="B523" s="158"/>
      <c r="C523" s="158"/>
      <c r="D523" s="158"/>
      <c r="E523" s="158"/>
      <c r="F523" s="158"/>
      <c r="G523" s="158"/>
    </row>
    <row r="524">
      <c r="A524" s="158"/>
      <c r="B524" s="158"/>
      <c r="C524" s="158"/>
      <c r="D524" s="158"/>
      <c r="E524" s="158"/>
      <c r="F524" s="158"/>
      <c r="G524" s="158"/>
    </row>
    <row r="525">
      <c r="A525" s="158"/>
      <c r="B525" s="158"/>
      <c r="C525" s="158"/>
      <c r="D525" s="158"/>
      <c r="E525" s="158"/>
      <c r="F525" s="158"/>
      <c r="G525" s="158"/>
    </row>
    <row r="526">
      <c r="A526" s="158"/>
      <c r="B526" s="158"/>
      <c r="C526" s="158"/>
      <c r="D526" s="158"/>
      <c r="E526" s="158"/>
      <c r="F526" s="158"/>
      <c r="G526" s="158"/>
    </row>
    <row r="527">
      <c r="A527" s="158"/>
      <c r="B527" s="158"/>
      <c r="C527" s="158"/>
      <c r="D527" s="158"/>
      <c r="E527" s="158"/>
      <c r="F527" s="158"/>
      <c r="G527" s="158"/>
    </row>
    <row r="528">
      <c r="A528" s="158"/>
      <c r="B528" s="158"/>
      <c r="C528" s="158"/>
      <c r="D528" s="158"/>
      <c r="E528" s="158"/>
      <c r="F528" s="158"/>
      <c r="G528" s="158"/>
    </row>
    <row r="529">
      <c r="A529" s="158"/>
      <c r="B529" s="158"/>
      <c r="C529" s="158"/>
      <c r="D529" s="158"/>
      <c r="E529" s="158"/>
      <c r="F529" s="158"/>
      <c r="G529" s="158"/>
    </row>
    <row r="530">
      <c r="A530" s="158"/>
      <c r="B530" s="158"/>
      <c r="C530" s="158"/>
      <c r="D530" s="158"/>
      <c r="E530" s="158"/>
      <c r="F530" s="158"/>
      <c r="G530" s="158"/>
    </row>
    <row r="531">
      <c r="A531" s="158"/>
      <c r="B531" s="158"/>
      <c r="C531" s="158"/>
      <c r="D531" s="158"/>
      <c r="E531" s="158"/>
      <c r="F531" s="158"/>
      <c r="G531" s="158"/>
    </row>
    <row r="532">
      <c r="A532" s="158"/>
      <c r="B532" s="158"/>
      <c r="C532" s="158"/>
      <c r="D532" s="158"/>
      <c r="E532" s="158"/>
      <c r="F532" s="158"/>
      <c r="G532" s="158"/>
    </row>
    <row r="533">
      <c r="A533" s="158"/>
      <c r="B533" s="158"/>
      <c r="C533" s="158"/>
      <c r="D533" s="158"/>
      <c r="E533" s="158"/>
      <c r="F533" s="158"/>
      <c r="G533" s="158"/>
    </row>
    <row r="534">
      <c r="A534" s="158"/>
      <c r="B534" s="158"/>
      <c r="C534" s="158"/>
      <c r="D534" s="158"/>
      <c r="E534" s="158"/>
      <c r="F534" s="158"/>
      <c r="G534" s="158"/>
    </row>
    <row r="535">
      <c r="A535" s="158"/>
      <c r="B535" s="158"/>
      <c r="C535" s="158"/>
      <c r="D535" s="158"/>
      <c r="E535" s="158"/>
      <c r="F535" s="158"/>
      <c r="G535" s="158"/>
    </row>
    <row r="536">
      <c r="A536" s="158"/>
      <c r="B536" s="158"/>
      <c r="C536" s="158"/>
      <c r="D536" s="158"/>
      <c r="E536" s="158"/>
      <c r="F536" s="158"/>
      <c r="G536" s="158"/>
    </row>
    <row r="537">
      <c r="A537" s="158"/>
      <c r="B537" s="158"/>
      <c r="C537" s="158"/>
      <c r="D537" s="158"/>
      <c r="E537" s="158"/>
      <c r="F537" s="158"/>
      <c r="G537" s="158"/>
    </row>
    <row r="538">
      <c r="A538" s="158"/>
      <c r="B538" s="158"/>
      <c r="C538" s="158"/>
      <c r="D538" s="158"/>
      <c r="E538" s="158"/>
      <c r="F538" s="158"/>
      <c r="G538" s="158"/>
    </row>
    <row r="539">
      <c r="A539" s="158"/>
      <c r="B539" s="158"/>
      <c r="C539" s="158"/>
      <c r="D539" s="158"/>
      <c r="E539" s="158"/>
      <c r="F539" s="158"/>
      <c r="G539" s="158"/>
    </row>
    <row r="540">
      <c r="A540" s="158"/>
      <c r="B540" s="158"/>
      <c r="C540" s="158"/>
      <c r="D540" s="158"/>
      <c r="E540" s="158"/>
      <c r="F540" s="158"/>
      <c r="G540" s="158"/>
    </row>
    <row r="541">
      <c r="A541" s="158"/>
      <c r="B541" s="158"/>
      <c r="C541" s="158"/>
      <c r="D541" s="158"/>
      <c r="E541" s="158"/>
      <c r="F541" s="158"/>
      <c r="G541" s="158"/>
    </row>
    <row r="542">
      <c r="A542" s="158"/>
      <c r="B542" s="158"/>
      <c r="C542" s="158"/>
      <c r="D542" s="158"/>
      <c r="E542" s="158"/>
      <c r="F542" s="158"/>
      <c r="G542" s="158"/>
    </row>
    <row r="543">
      <c r="A543" s="158"/>
      <c r="B543" s="158"/>
      <c r="C543" s="158"/>
      <c r="D543" s="158"/>
      <c r="E543" s="158"/>
      <c r="F543" s="158"/>
      <c r="G543" s="158"/>
    </row>
    <row r="544">
      <c r="A544" s="158"/>
      <c r="B544" s="158"/>
      <c r="C544" s="158"/>
      <c r="D544" s="158"/>
      <c r="E544" s="158"/>
      <c r="F544" s="158"/>
      <c r="G544" s="158"/>
    </row>
    <row r="545">
      <c r="A545" s="158"/>
      <c r="B545" s="158"/>
      <c r="C545" s="158"/>
      <c r="D545" s="158"/>
      <c r="E545" s="158"/>
      <c r="F545" s="158"/>
      <c r="G545" s="158"/>
    </row>
    <row r="546">
      <c r="A546" s="158"/>
      <c r="B546" s="158"/>
      <c r="C546" s="158"/>
      <c r="D546" s="158"/>
      <c r="E546" s="158"/>
      <c r="F546" s="158"/>
      <c r="G546" s="158"/>
    </row>
    <row r="547">
      <c r="A547" s="158"/>
      <c r="B547" s="158"/>
      <c r="C547" s="158"/>
      <c r="D547" s="158"/>
      <c r="E547" s="158"/>
      <c r="F547" s="158"/>
      <c r="G547" s="158"/>
    </row>
    <row r="548">
      <c r="A548" s="158"/>
      <c r="B548" s="158"/>
      <c r="C548" s="158"/>
      <c r="D548" s="158"/>
      <c r="E548" s="158"/>
      <c r="F548" s="158"/>
      <c r="G548" s="158"/>
    </row>
    <row r="549">
      <c r="A549" s="158"/>
      <c r="B549" s="158"/>
      <c r="C549" s="158"/>
      <c r="D549" s="158"/>
      <c r="E549" s="158"/>
      <c r="F549" s="158"/>
      <c r="G549" s="158"/>
    </row>
    <row r="550">
      <c r="A550" s="158"/>
      <c r="B550" s="158"/>
      <c r="C550" s="158"/>
      <c r="D550" s="158"/>
      <c r="E550" s="158"/>
      <c r="F550" s="158"/>
      <c r="G550" s="158"/>
    </row>
    <row r="551">
      <c r="A551" s="158"/>
      <c r="B551" s="158"/>
      <c r="C551" s="158"/>
      <c r="D551" s="158"/>
      <c r="E551" s="158"/>
      <c r="F551" s="158"/>
      <c r="G551" s="158"/>
    </row>
    <row r="552">
      <c r="A552" s="158"/>
      <c r="B552" s="158"/>
      <c r="C552" s="158"/>
      <c r="D552" s="158"/>
      <c r="E552" s="158"/>
      <c r="F552" s="158"/>
      <c r="G552" s="158"/>
    </row>
    <row r="553">
      <c r="A553" s="158"/>
      <c r="B553" s="158"/>
      <c r="C553" s="158"/>
      <c r="D553" s="158"/>
      <c r="E553" s="158"/>
      <c r="F553" s="158"/>
      <c r="G553" s="158"/>
    </row>
    <row r="554">
      <c r="A554" s="158"/>
      <c r="B554" s="158"/>
      <c r="C554" s="158"/>
      <c r="D554" s="158"/>
      <c r="E554" s="158"/>
      <c r="F554" s="158"/>
      <c r="G554" s="158"/>
    </row>
    <row r="555">
      <c r="A555" s="158"/>
      <c r="B555" s="158"/>
      <c r="C555" s="158"/>
      <c r="D555" s="158"/>
      <c r="E555" s="158"/>
      <c r="F555" s="158"/>
      <c r="G555" s="158"/>
    </row>
    <row r="556">
      <c r="A556" s="158"/>
      <c r="B556" s="158"/>
      <c r="C556" s="158"/>
      <c r="D556" s="158"/>
      <c r="E556" s="158"/>
      <c r="F556" s="158"/>
      <c r="G556" s="158"/>
    </row>
    <row r="557">
      <c r="A557" s="158"/>
      <c r="B557" s="158"/>
      <c r="C557" s="158"/>
      <c r="D557" s="158"/>
      <c r="E557" s="158"/>
      <c r="F557" s="158"/>
      <c r="G557" s="158"/>
    </row>
    <row r="558">
      <c r="A558" s="158"/>
      <c r="B558" s="158"/>
      <c r="C558" s="158"/>
      <c r="D558" s="158"/>
      <c r="E558" s="158"/>
      <c r="F558" s="158"/>
      <c r="G558" s="158"/>
    </row>
    <row r="559">
      <c r="A559" s="158"/>
      <c r="B559" s="158"/>
      <c r="C559" s="158"/>
      <c r="D559" s="158"/>
      <c r="E559" s="158"/>
      <c r="F559" s="158"/>
      <c r="G559" s="158"/>
    </row>
    <row r="560">
      <c r="A560" s="158"/>
      <c r="B560" s="158"/>
      <c r="C560" s="158"/>
      <c r="D560" s="158"/>
      <c r="E560" s="158"/>
      <c r="F560" s="158"/>
      <c r="G560" s="158"/>
    </row>
    <row r="561">
      <c r="A561" s="158"/>
      <c r="B561" s="158"/>
      <c r="C561" s="158"/>
      <c r="D561" s="158"/>
      <c r="E561" s="158"/>
      <c r="F561" s="158"/>
      <c r="G561" s="158"/>
    </row>
    <row r="562">
      <c r="A562" s="158"/>
      <c r="B562" s="158"/>
      <c r="C562" s="158"/>
      <c r="D562" s="158"/>
      <c r="E562" s="158"/>
      <c r="F562" s="158"/>
      <c r="G562" s="158"/>
    </row>
    <row r="563">
      <c r="A563" s="158"/>
      <c r="B563" s="158"/>
      <c r="C563" s="158"/>
      <c r="D563" s="158"/>
      <c r="E563" s="158"/>
      <c r="F563" s="158"/>
      <c r="G563" s="158"/>
    </row>
    <row r="564">
      <c r="A564" s="158"/>
      <c r="B564" s="158"/>
      <c r="C564" s="158"/>
      <c r="D564" s="158"/>
      <c r="E564" s="158"/>
      <c r="F564" s="158"/>
      <c r="G564" s="158"/>
    </row>
    <row r="565">
      <c r="A565" s="158"/>
      <c r="B565" s="158"/>
      <c r="C565" s="158"/>
      <c r="D565" s="158"/>
      <c r="E565" s="158"/>
      <c r="F565" s="158"/>
      <c r="G565" s="158"/>
    </row>
    <row r="566">
      <c r="A566" s="158"/>
      <c r="B566" s="158"/>
      <c r="C566" s="158"/>
      <c r="D566" s="158"/>
      <c r="E566" s="158"/>
      <c r="F566" s="158"/>
      <c r="G566" s="158"/>
    </row>
    <row r="567">
      <c r="A567" s="158"/>
      <c r="B567" s="158"/>
      <c r="C567" s="158"/>
      <c r="D567" s="158"/>
      <c r="E567" s="158"/>
      <c r="F567" s="158"/>
      <c r="G567" s="158"/>
    </row>
    <row r="568">
      <c r="A568" s="158"/>
      <c r="B568" s="158"/>
      <c r="C568" s="158"/>
      <c r="D568" s="158"/>
      <c r="E568" s="158"/>
      <c r="F568" s="158"/>
      <c r="G568" s="158"/>
    </row>
    <row r="569">
      <c r="A569" s="158"/>
      <c r="B569" s="158"/>
      <c r="C569" s="158"/>
      <c r="D569" s="158"/>
      <c r="E569" s="158"/>
      <c r="F569" s="158"/>
      <c r="G569" s="158"/>
    </row>
    <row r="570">
      <c r="A570" s="158"/>
      <c r="B570" s="158"/>
      <c r="C570" s="158"/>
      <c r="D570" s="158"/>
      <c r="E570" s="158"/>
      <c r="F570" s="158"/>
      <c r="G570" s="158"/>
    </row>
    <row r="571">
      <c r="A571" s="158"/>
      <c r="B571" s="158"/>
      <c r="C571" s="158"/>
      <c r="D571" s="158"/>
      <c r="E571" s="158"/>
      <c r="F571" s="158"/>
      <c r="G571" s="158"/>
    </row>
    <row r="572">
      <c r="A572" s="158"/>
      <c r="B572" s="158"/>
      <c r="C572" s="158"/>
      <c r="D572" s="158"/>
      <c r="E572" s="158"/>
      <c r="F572" s="158"/>
      <c r="G572" s="158"/>
    </row>
    <row r="573">
      <c r="A573" s="158"/>
      <c r="B573" s="158"/>
      <c r="C573" s="158"/>
      <c r="D573" s="158"/>
      <c r="E573" s="158"/>
      <c r="F573" s="158"/>
      <c r="G573" s="158"/>
    </row>
    <row r="574">
      <c r="A574" s="158"/>
      <c r="B574" s="158"/>
      <c r="C574" s="158"/>
      <c r="D574" s="158"/>
      <c r="E574" s="158"/>
      <c r="F574" s="158"/>
      <c r="G574" s="158"/>
    </row>
    <row r="575">
      <c r="A575" s="158"/>
      <c r="B575" s="158"/>
      <c r="C575" s="158"/>
      <c r="D575" s="158"/>
      <c r="E575" s="158"/>
      <c r="F575" s="158"/>
      <c r="G575" s="158"/>
    </row>
    <row r="576">
      <c r="A576" s="158"/>
      <c r="B576" s="158"/>
      <c r="C576" s="158"/>
      <c r="D576" s="158"/>
      <c r="E576" s="158"/>
      <c r="F576" s="158"/>
      <c r="G576" s="158"/>
    </row>
    <row r="577">
      <c r="A577" s="158"/>
      <c r="B577" s="158"/>
      <c r="C577" s="158"/>
      <c r="D577" s="158"/>
      <c r="E577" s="158"/>
      <c r="F577" s="158"/>
      <c r="G577" s="158"/>
    </row>
    <row r="578">
      <c r="A578" s="158"/>
      <c r="B578" s="158"/>
      <c r="C578" s="158"/>
      <c r="D578" s="158"/>
      <c r="E578" s="158"/>
      <c r="F578" s="158"/>
      <c r="G578" s="158"/>
    </row>
    <row r="579">
      <c r="A579" s="158"/>
      <c r="B579" s="158"/>
      <c r="C579" s="158"/>
      <c r="D579" s="158"/>
      <c r="E579" s="158"/>
      <c r="F579" s="158"/>
      <c r="G579" s="158"/>
    </row>
    <row r="580">
      <c r="A580" s="158"/>
      <c r="B580" s="158"/>
      <c r="C580" s="158"/>
      <c r="D580" s="158"/>
      <c r="E580" s="158"/>
      <c r="F580" s="158"/>
      <c r="G580" s="158"/>
    </row>
    <row r="581">
      <c r="A581" s="158"/>
      <c r="B581" s="158"/>
      <c r="C581" s="158"/>
      <c r="D581" s="158"/>
      <c r="E581" s="158"/>
      <c r="F581" s="158"/>
      <c r="G581" s="158"/>
    </row>
    <row r="582">
      <c r="A582" s="158"/>
      <c r="B582" s="158"/>
      <c r="C582" s="158"/>
      <c r="D582" s="158"/>
      <c r="E582" s="158"/>
      <c r="F582" s="158"/>
      <c r="G582" s="158"/>
    </row>
    <row r="583">
      <c r="A583" s="158"/>
      <c r="B583" s="158"/>
      <c r="C583" s="158"/>
      <c r="D583" s="158"/>
      <c r="E583" s="158"/>
      <c r="F583" s="158"/>
      <c r="G583" s="158"/>
    </row>
    <row r="584">
      <c r="A584" s="158"/>
      <c r="B584" s="158"/>
      <c r="C584" s="158"/>
      <c r="D584" s="158"/>
      <c r="E584" s="158"/>
      <c r="F584" s="158"/>
      <c r="G584" s="158"/>
    </row>
    <row r="585">
      <c r="A585" s="158"/>
      <c r="B585" s="158"/>
      <c r="C585" s="158"/>
      <c r="D585" s="158"/>
      <c r="E585" s="158"/>
      <c r="F585" s="158"/>
      <c r="G585" s="158"/>
    </row>
    <row r="586">
      <c r="A586" s="158"/>
      <c r="B586" s="158"/>
      <c r="C586" s="158"/>
      <c r="D586" s="158"/>
      <c r="E586" s="158"/>
      <c r="F586" s="158"/>
      <c r="G586" s="158"/>
    </row>
    <row r="587">
      <c r="A587" s="158"/>
      <c r="B587" s="158"/>
      <c r="C587" s="158"/>
      <c r="D587" s="158"/>
      <c r="E587" s="158"/>
      <c r="F587" s="158"/>
      <c r="G587" s="158"/>
    </row>
    <row r="588">
      <c r="A588" s="158"/>
      <c r="B588" s="158"/>
      <c r="C588" s="158"/>
      <c r="D588" s="158"/>
      <c r="E588" s="158"/>
      <c r="F588" s="158"/>
      <c r="G588" s="158"/>
    </row>
    <row r="589">
      <c r="A589" s="158"/>
      <c r="B589" s="158"/>
      <c r="C589" s="158"/>
      <c r="D589" s="158"/>
      <c r="E589" s="158"/>
      <c r="F589" s="158"/>
      <c r="G589" s="158"/>
    </row>
    <row r="590">
      <c r="A590" s="158"/>
      <c r="B590" s="158"/>
      <c r="C590" s="158"/>
      <c r="D590" s="158"/>
      <c r="E590" s="158"/>
      <c r="F590" s="158"/>
      <c r="G590" s="158"/>
    </row>
    <row r="591">
      <c r="A591" s="158"/>
      <c r="B591" s="158"/>
      <c r="C591" s="158"/>
      <c r="D591" s="158"/>
      <c r="E591" s="158"/>
      <c r="F591" s="158"/>
      <c r="G591" s="158"/>
    </row>
    <row r="592">
      <c r="A592" s="158"/>
      <c r="B592" s="158"/>
      <c r="C592" s="158"/>
      <c r="D592" s="158"/>
      <c r="E592" s="158"/>
      <c r="F592" s="158"/>
      <c r="G592" s="158"/>
    </row>
    <row r="593">
      <c r="A593" s="158"/>
      <c r="B593" s="158"/>
      <c r="C593" s="158"/>
      <c r="D593" s="158"/>
      <c r="E593" s="158"/>
      <c r="F593" s="158"/>
      <c r="G593" s="158"/>
    </row>
    <row r="594">
      <c r="A594" s="158"/>
      <c r="B594" s="158"/>
      <c r="C594" s="158"/>
      <c r="D594" s="158"/>
      <c r="E594" s="158"/>
      <c r="F594" s="158"/>
      <c r="G594" s="158"/>
    </row>
    <row r="595">
      <c r="A595" s="158"/>
      <c r="B595" s="158"/>
      <c r="C595" s="158"/>
      <c r="D595" s="158"/>
      <c r="E595" s="158"/>
      <c r="F595" s="158"/>
      <c r="G595" s="158"/>
    </row>
    <row r="596">
      <c r="A596" s="158"/>
      <c r="B596" s="158"/>
      <c r="C596" s="158"/>
      <c r="D596" s="158"/>
      <c r="E596" s="158"/>
      <c r="F596" s="158"/>
      <c r="G596" s="158"/>
    </row>
    <row r="597">
      <c r="A597" s="158"/>
      <c r="B597" s="158"/>
      <c r="C597" s="158"/>
      <c r="D597" s="158"/>
      <c r="E597" s="158"/>
      <c r="F597" s="158"/>
      <c r="G597" s="158"/>
    </row>
    <row r="598">
      <c r="A598" s="158"/>
      <c r="B598" s="158"/>
      <c r="C598" s="158"/>
      <c r="D598" s="158"/>
      <c r="E598" s="158"/>
      <c r="F598" s="158"/>
      <c r="G598" s="158"/>
    </row>
    <row r="599">
      <c r="A599" s="158"/>
      <c r="B599" s="158"/>
      <c r="C599" s="158"/>
      <c r="D599" s="158"/>
      <c r="E599" s="158"/>
      <c r="F599" s="158"/>
      <c r="G599" s="158"/>
    </row>
    <row r="600">
      <c r="A600" s="158"/>
      <c r="B600" s="158"/>
      <c r="C600" s="158"/>
      <c r="D600" s="158"/>
      <c r="E600" s="158"/>
      <c r="F600" s="158"/>
      <c r="G600" s="158"/>
    </row>
    <row r="601">
      <c r="A601" s="158"/>
      <c r="B601" s="158"/>
      <c r="C601" s="158"/>
      <c r="D601" s="158"/>
      <c r="E601" s="158"/>
      <c r="F601" s="158"/>
      <c r="G601" s="158"/>
    </row>
    <row r="602">
      <c r="A602" s="158"/>
      <c r="B602" s="158"/>
      <c r="C602" s="158"/>
      <c r="D602" s="158"/>
      <c r="E602" s="158"/>
      <c r="F602" s="158"/>
      <c r="G602" s="158"/>
    </row>
    <row r="603">
      <c r="A603" s="158"/>
      <c r="B603" s="158"/>
      <c r="C603" s="158"/>
      <c r="D603" s="158"/>
      <c r="E603" s="158"/>
      <c r="F603" s="158"/>
      <c r="G603" s="158"/>
    </row>
    <row r="604">
      <c r="A604" s="158"/>
      <c r="B604" s="158"/>
      <c r="C604" s="158"/>
      <c r="D604" s="158"/>
      <c r="E604" s="158"/>
      <c r="F604" s="158"/>
      <c r="G604" s="158"/>
    </row>
    <row r="605">
      <c r="A605" s="158"/>
      <c r="B605" s="158"/>
      <c r="C605" s="158"/>
      <c r="D605" s="158"/>
      <c r="E605" s="158"/>
      <c r="F605" s="158"/>
      <c r="G605" s="158"/>
    </row>
    <row r="606">
      <c r="A606" s="158"/>
      <c r="B606" s="158"/>
      <c r="C606" s="158"/>
      <c r="D606" s="158"/>
      <c r="E606" s="158"/>
      <c r="F606" s="158"/>
      <c r="G606" s="158"/>
    </row>
    <row r="607">
      <c r="A607" s="158"/>
      <c r="B607" s="158"/>
      <c r="C607" s="158"/>
      <c r="D607" s="158"/>
      <c r="E607" s="158"/>
      <c r="F607" s="158"/>
      <c r="G607" s="158"/>
    </row>
    <row r="608">
      <c r="A608" s="158"/>
      <c r="B608" s="158"/>
      <c r="C608" s="158"/>
      <c r="D608" s="158"/>
      <c r="E608" s="158"/>
      <c r="F608" s="158"/>
      <c r="G608" s="158"/>
    </row>
    <row r="609">
      <c r="A609" s="158"/>
      <c r="B609" s="158"/>
      <c r="C609" s="158"/>
      <c r="D609" s="158"/>
      <c r="E609" s="158"/>
      <c r="F609" s="158"/>
      <c r="G609" s="158"/>
    </row>
    <row r="610">
      <c r="A610" s="158"/>
      <c r="B610" s="158"/>
      <c r="C610" s="158"/>
      <c r="D610" s="158"/>
      <c r="E610" s="158"/>
      <c r="F610" s="158"/>
      <c r="G610" s="158"/>
    </row>
    <row r="611">
      <c r="A611" s="158"/>
      <c r="B611" s="158"/>
      <c r="C611" s="158"/>
      <c r="D611" s="158"/>
      <c r="E611" s="158"/>
      <c r="F611" s="158"/>
      <c r="G611" s="158"/>
    </row>
    <row r="612">
      <c r="A612" s="158"/>
      <c r="B612" s="158"/>
      <c r="C612" s="158"/>
      <c r="D612" s="158"/>
      <c r="E612" s="158"/>
      <c r="F612" s="158"/>
      <c r="G612" s="158"/>
    </row>
    <row r="613">
      <c r="A613" s="158"/>
      <c r="B613" s="158"/>
      <c r="C613" s="158"/>
      <c r="D613" s="158"/>
      <c r="E613" s="158"/>
      <c r="F613" s="158"/>
      <c r="G613" s="158"/>
    </row>
    <row r="614">
      <c r="A614" s="158"/>
      <c r="B614" s="158"/>
      <c r="C614" s="158"/>
      <c r="D614" s="158"/>
      <c r="E614" s="158"/>
      <c r="F614" s="158"/>
      <c r="G614" s="158"/>
    </row>
    <row r="615">
      <c r="A615" s="158"/>
      <c r="B615" s="158"/>
      <c r="C615" s="158"/>
      <c r="D615" s="158"/>
      <c r="E615" s="158"/>
      <c r="F615" s="158"/>
      <c r="G615" s="158"/>
    </row>
    <row r="616">
      <c r="A616" s="158"/>
      <c r="B616" s="158"/>
      <c r="C616" s="158"/>
      <c r="D616" s="158"/>
      <c r="E616" s="158"/>
      <c r="F616" s="158"/>
      <c r="G616" s="158"/>
    </row>
    <row r="617">
      <c r="A617" s="158"/>
      <c r="B617" s="158"/>
      <c r="C617" s="158"/>
      <c r="D617" s="158"/>
      <c r="E617" s="158"/>
      <c r="F617" s="158"/>
      <c r="G617" s="158"/>
    </row>
    <row r="618">
      <c r="A618" s="158"/>
      <c r="B618" s="158"/>
      <c r="C618" s="158"/>
      <c r="D618" s="158"/>
      <c r="E618" s="158"/>
      <c r="F618" s="158"/>
      <c r="G618" s="158"/>
    </row>
    <row r="619">
      <c r="A619" s="158"/>
      <c r="B619" s="158"/>
      <c r="C619" s="158"/>
      <c r="D619" s="158"/>
      <c r="E619" s="158"/>
      <c r="F619" s="158"/>
      <c r="G619" s="158"/>
    </row>
    <row r="620">
      <c r="A620" s="158"/>
      <c r="B620" s="158"/>
      <c r="C620" s="158"/>
      <c r="D620" s="158"/>
      <c r="E620" s="158"/>
      <c r="F620" s="158"/>
      <c r="G620" s="158"/>
    </row>
    <row r="621">
      <c r="A621" s="158"/>
      <c r="B621" s="158"/>
      <c r="C621" s="158"/>
      <c r="D621" s="158"/>
      <c r="E621" s="158"/>
      <c r="F621" s="158"/>
      <c r="G621" s="158"/>
    </row>
    <row r="622">
      <c r="A622" s="158"/>
      <c r="B622" s="158"/>
      <c r="C622" s="158"/>
      <c r="D622" s="158"/>
      <c r="E622" s="158"/>
      <c r="F622" s="158"/>
      <c r="G622" s="158"/>
    </row>
    <row r="623">
      <c r="A623" s="158"/>
      <c r="B623" s="158"/>
      <c r="C623" s="158"/>
      <c r="D623" s="158"/>
      <c r="E623" s="158"/>
      <c r="F623" s="158"/>
      <c r="G623" s="158"/>
    </row>
    <row r="624">
      <c r="A624" s="158"/>
      <c r="B624" s="158"/>
      <c r="C624" s="158"/>
      <c r="D624" s="158"/>
      <c r="E624" s="158"/>
      <c r="F624" s="158"/>
      <c r="G624" s="158"/>
    </row>
    <row r="625">
      <c r="A625" s="158"/>
      <c r="B625" s="158"/>
      <c r="C625" s="158"/>
      <c r="D625" s="158"/>
      <c r="E625" s="158"/>
      <c r="F625" s="158"/>
      <c r="G625" s="158"/>
    </row>
    <row r="626">
      <c r="A626" s="158"/>
      <c r="B626" s="158"/>
      <c r="C626" s="158"/>
      <c r="D626" s="158"/>
      <c r="E626" s="158"/>
      <c r="F626" s="158"/>
      <c r="G626" s="158"/>
    </row>
    <row r="627">
      <c r="A627" s="158"/>
      <c r="B627" s="158"/>
      <c r="C627" s="158"/>
      <c r="D627" s="158"/>
      <c r="E627" s="158"/>
      <c r="F627" s="158"/>
      <c r="G627" s="158"/>
    </row>
    <row r="628">
      <c r="A628" s="158"/>
      <c r="B628" s="158"/>
      <c r="C628" s="158"/>
      <c r="D628" s="158"/>
      <c r="E628" s="158"/>
      <c r="F628" s="158"/>
      <c r="G628" s="158"/>
    </row>
    <row r="629">
      <c r="A629" s="158"/>
      <c r="B629" s="158"/>
      <c r="C629" s="158"/>
      <c r="D629" s="158"/>
      <c r="E629" s="158"/>
      <c r="F629" s="158"/>
      <c r="G629" s="158"/>
    </row>
    <row r="630">
      <c r="A630" s="158"/>
      <c r="B630" s="158"/>
      <c r="C630" s="158"/>
      <c r="D630" s="158"/>
      <c r="E630" s="158"/>
      <c r="F630" s="158"/>
      <c r="G630" s="158"/>
    </row>
    <row r="631">
      <c r="A631" s="158"/>
      <c r="B631" s="158"/>
      <c r="C631" s="158"/>
      <c r="D631" s="158"/>
      <c r="E631" s="158"/>
      <c r="F631" s="158"/>
      <c r="G631" s="158"/>
    </row>
    <row r="632">
      <c r="A632" s="158"/>
      <c r="B632" s="158"/>
      <c r="C632" s="158"/>
      <c r="D632" s="158"/>
      <c r="E632" s="158"/>
      <c r="F632" s="158"/>
      <c r="G632" s="158"/>
    </row>
    <row r="633">
      <c r="A633" s="158"/>
      <c r="B633" s="158"/>
      <c r="C633" s="158"/>
      <c r="D633" s="158"/>
      <c r="E633" s="158"/>
      <c r="F633" s="158"/>
      <c r="G633" s="158"/>
    </row>
    <row r="634">
      <c r="A634" s="158"/>
      <c r="B634" s="158"/>
      <c r="C634" s="158"/>
      <c r="D634" s="158"/>
      <c r="E634" s="158"/>
      <c r="F634" s="158"/>
      <c r="G634" s="158"/>
    </row>
    <row r="635">
      <c r="A635" s="158"/>
      <c r="B635" s="158"/>
      <c r="C635" s="158"/>
      <c r="D635" s="158"/>
      <c r="E635" s="158"/>
      <c r="F635" s="158"/>
      <c r="G635" s="158"/>
    </row>
    <row r="636">
      <c r="A636" s="158"/>
      <c r="B636" s="158"/>
      <c r="C636" s="158"/>
      <c r="D636" s="158"/>
      <c r="E636" s="158"/>
      <c r="F636" s="158"/>
      <c r="G636" s="158"/>
    </row>
    <row r="637">
      <c r="A637" s="158"/>
      <c r="B637" s="158"/>
      <c r="C637" s="158"/>
      <c r="D637" s="158"/>
      <c r="E637" s="158"/>
      <c r="F637" s="158"/>
      <c r="G637" s="158"/>
    </row>
    <row r="638">
      <c r="A638" s="158"/>
      <c r="B638" s="158"/>
      <c r="C638" s="158"/>
      <c r="D638" s="158"/>
      <c r="E638" s="158"/>
      <c r="F638" s="158"/>
      <c r="G638" s="158"/>
    </row>
    <row r="639">
      <c r="A639" s="158"/>
      <c r="B639" s="158"/>
      <c r="C639" s="158"/>
      <c r="D639" s="158"/>
      <c r="E639" s="158"/>
      <c r="F639" s="158"/>
      <c r="G639" s="158"/>
    </row>
    <row r="640">
      <c r="A640" s="158"/>
      <c r="B640" s="158"/>
      <c r="C640" s="158"/>
      <c r="D640" s="158"/>
      <c r="E640" s="158"/>
      <c r="F640" s="158"/>
      <c r="G640" s="158"/>
    </row>
    <row r="641">
      <c r="A641" s="158"/>
      <c r="B641" s="158"/>
      <c r="C641" s="158"/>
      <c r="D641" s="158"/>
      <c r="E641" s="158"/>
      <c r="F641" s="158"/>
      <c r="G641" s="158"/>
    </row>
    <row r="642">
      <c r="A642" s="158"/>
      <c r="B642" s="158"/>
      <c r="C642" s="158"/>
      <c r="D642" s="158"/>
      <c r="E642" s="158"/>
      <c r="F642" s="158"/>
      <c r="G642" s="158"/>
    </row>
    <row r="643">
      <c r="A643" s="158"/>
      <c r="B643" s="158"/>
      <c r="C643" s="158"/>
      <c r="D643" s="158"/>
      <c r="E643" s="158"/>
      <c r="F643" s="158"/>
      <c r="G643" s="158"/>
    </row>
    <row r="644">
      <c r="A644" s="158"/>
      <c r="B644" s="158"/>
      <c r="C644" s="158"/>
      <c r="D644" s="158"/>
      <c r="E644" s="158"/>
      <c r="F644" s="158"/>
      <c r="G644" s="158"/>
    </row>
    <row r="645">
      <c r="A645" s="158"/>
      <c r="B645" s="158"/>
      <c r="C645" s="158"/>
      <c r="D645" s="158"/>
      <c r="E645" s="158"/>
      <c r="F645" s="158"/>
      <c r="G645" s="158"/>
    </row>
    <row r="646">
      <c r="A646" s="158"/>
      <c r="B646" s="158"/>
      <c r="C646" s="158"/>
      <c r="D646" s="158"/>
      <c r="E646" s="158"/>
      <c r="F646" s="158"/>
      <c r="G646" s="158"/>
    </row>
    <row r="647">
      <c r="A647" s="158"/>
      <c r="B647" s="158"/>
      <c r="C647" s="158"/>
      <c r="D647" s="158"/>
      <c r="E647" s="158"/>
      <c r="F647" s="158"/>
      <c r="G647" s="158"/>
    </row>
    <row r="648">
      <c r="A648" s="158"/>
      <c r="B648" s="158"/>
      <c r="C648" s="158"/>
      <c r="D648" s="158"/>
      <c r="E648" s="158"/>
      <c r="F648" s="158"/>
      <c r="G648" s="158"/>
    </row>
    <row r="649">
      <c r="A649" s="158"/>
      <c r="B649" s="158"/>
      <c r="C649" s="158"/>
      <c r="D649" s="158"/>
      <c r="E649" s="158"/>
      <c r="F649" s="158"/>
      <c r="G649" s="158"/>
    </row>
    <row r="650">
      <c r="A650" s="158"/>
      <c r="B650" s="158"/>
      <c r="C650" s="158"/>
      <c r="D650" s="158"/>
      <c r="E650" s="158"/>
      <c r="F650" s="158"/>
      <c r="G650" s="158"/>
    </row>
    <row r="651">
      <c r="A651" s="158"/>
      <c r="B651" s="158"/>
      <c r="C651" s="158"/>
      <c r="D651" s="158"/>
      <c r="E651" s="158"/>
      <c r="F651" s="158"/>
      <c r="G651" s="158"/>
    </row>
    <row r="652">
      <c r="A652" s="158"/>
      <c r="B652" s="158"/>
      <c r="C652" s="158"/>
      <c r="D652" s="158"/>
      <c r="E652" s="158"/>
      <c r="F652" s="158"/>
      <c r="G652" s="158"/>
    </row>
    <row r="653">
      <c r="A653" s="158"/>
      <c r="B653" s="158"/>
      <c r="C653" s="158"/>
      <c r="D653" s="158"/>
      <c r="E653" s="158"/>
      <c r="F653" s="158"/>
      <c r="G653" s="158"/>
    </row>
    <row r="654">
      <c r="A654" s="158"/>
      <c r="B654" s="158"/>
      <c r="C654" s="158"/>
      <c r="D654" s="158"/>
      <c r="E654" s="158"/>
      <c r="F654" s="158"/>
      <c r="G654" s="158"/>
    </row>
    <row r="655">
      <c r="A655" s="158"/>
      <c r="B655" s="158"/>
      <c r="C655" s="158"/>
      <c r="D655" s="158"/>
      <c r="E655" s="158"/>
      <c r="F655" s="158"/>
      <c r="G655" s="158"/>
    </row>
    <row r="656">
      <c r="A656" s="158"/>
      <c r="B656" s="158"/>
      <c r="C656" s="158"/>
      <c r="D656" s="158"/>
      <c r="E656" s="158"/>
      <c r="F656" s="158"/>
      <c r="G656" s="158"/>
    </row>
    <row r="657">
      <c r="A657" s="158"/>
      <c r="B657" s="158"/>
      <c r="C657" s="158"/>
      <c r="D657" s="158"/>
      <c r="E657" s="158"/>
      <c r="F657" s="158"/>
      <c r="G657" s="158"/>
    </row>
    <row r="658">
      <c r="A658" s="158"/>
      <c r="B658" s="158"/>
      <c r="C658" s="158"/>
      <c r="D658" s="158"/>
      <c r="E658" s="158"/>
      <c r="F658" s="158"/>
      <c r="G658" s="158"/>
    </row>
    <row r="659">
      <c r="A659" s="158"/>
      <c r="B659" s="158"/>
      <c r="C659" s="158"/>
      <c r="D659" s="158"/>
      <c r="E659" s="158"/>
      <c r="F659" s="158"/>
      <c r="G659" s="158"/>
    </row>
    <row r="660">
      <c r="A660" s="158"/>
      <c r="B660" s="158"/>
      <c r="C660" s="158"/>
      <c r="D660" s="158"/>
      <c r="E660" s="158"/>
      <c r="F660" s="158"/>
      <c r="G660" s="158"/>
    </row>
    <row r="661">
      <c r="A661" s="158"/>
      <c r="B661" s="158"/>
      <c r="C661" s="158"/>
      <c r="D661" s="158"/>
      <c r="E661" s="158"/>
      <c r="F661" s="158"/>
      <c r="G661" s="158"/>
    </row>
    <row r="662">
      <c r="A662" s="158"/>
      <c r="B662" s="158"/>
      <c r="C662" s="158"/>
      <c r="D662" s="158"/>
      <c r="E662" s="158"/>
      <c r="F662" s="158"/>
      <c r="G662" s="158"/>
    </row>
    <row r="663">
      <c r="A663" s="158"/>
      <c r="B663" s="158"/>
      <c r="C663" s="158"/>
      <c r="D663" s="158"/>
      <c r="E663" s="158"/>
      <c r="F663" s="158"/>
      <c r="G663" s="158"/>
    </row>
    <row r="664">
      <c r="A664" s="158"/>
      <c r="B664" s="158"/>
      <c r="C664" s="158"/>
      <c r="D664" s="158"/>
      <c r="E664" s="158"/>
      <c r="F664" s="158"/>
      <c r="G664" s="158"/>
    </row>
    <row r="665">
      <c r="A665" s="158"/>
      <c r="B665" s="158"/>
      <c r="C665" s="158"/>
      <c r="D665" s="158"/>
      <c r="E665" s="158"/>
      <c r="F665" s="158"/>
      <c r="G665" s="158"/>
    </row>
    <row r="666">
      <c r="A666" s="158"/>
      <c r="B666" s="158"/>
      <c r="C666" s="158"/>
      <c r="D666" s="158"/>
      <c r="E666" s="158"/>
      <c r="F666" s="158"/>
      <c r="G666" s="158"/>
    </row>
    <row r="667">
      <c r="A667" s="158"/>
      <c r="B667" s="158"/>
      <c r="C667" s="158"/>
      <c r="D667" s="158"/>
      <c r="E667" s="158"/>
      <c r="F667" s="158"/>
      <c r="G667" s="158"/>
    </row>
    <row r="668">
      <c r="A668" s="158"/>
      <c r="B668" s="158"/>
      <c r="C668" s="158"/>
      <c r="D668" s="158"/>
      <c r="E668" s="158"/>
      <c r="F668" s="158"/>
      <c r="G668" s="158"/>
    </row>
    <row r="669">
      <c r="A669" s="158"/>
      <c r="B669" s="158"/>
      <c r="C669" s="158"/>
      <c r="D669" s="158"/>
      <c r="E669" s="158"/>
      <c r="F669" s="158"/>
      <c r="G669" s="158"/>
    </row>
    <row r="670">
      <c r="A670" s="158"/>
      <c r="B670" s="158"/>
      <c r="C670" s="158"/>
      <c r="D670" s="158"/>
      <c r="E670" s="158"/>
      <c r="F670" s="158"/>
      <c r="G670" s="158"/>
    </row>
    <row r="671">
      <c r="A671" s="158"/>
      <c r="B671" s="158"/>
      <c r="C671" s="158"/>
      <c r="D671" s="158"/>
      <c r="E671" s="158"/>
      <c r="F671" s="158"/>
      <c r="G671" s="158"/>
    </row>
    <row r="672">
      <c r="A672" s="158"/>
      <c r="B672" s="158"/>
      <c r="C672" s="158"/>
      <c r="D672" s="158"/>
      <c r="E672" s="158"/>
      <c r="F672" s="158"/>
      <c r="G672" s="158"/>
    </row>
    <row r="673">
      <c r="A673" s="158"/>
      <c r="B673" s="158"/>
      <c r="C673" s="158"/>
      <c r="D673" s="158"/>
      <c r="E673" s="158"/>
      <c r="F673" s="158"/>
      <c r="G673" s="158"/>
    </row>
    <row r="674">
      <c r="A674" s="158"/>
      <c r="B674" s="158"/>
      <c r="C674" s="158"/>
      <c r="D674" s="158"/>
      <c r="E674" s="158"/>
      <c r="F674" s="158"/>
      <c r="G674" s="158"/>
    </row>
    <row r="675">
      <c r="A675" s="158"/>
      <c r="B675" s="158"/>
      <c r="C675" s="158"/>
      <c r="D675" s="158"/>
      <c r="E675" s="158"/>
      <c r="F675" s="158"/>
      <c r="G675" s="158"/>
    </row>
    <row r="676">
      <c r="A676" s="158"/>
      <c r="B676" s="158"/>
      <c r="C676" s="158"/>
      <c r="D676" s="158"/>
      <c r="E676" s="158"/>
      <c r="F676" s="158"/>
      <c r="G676" s="158"/>
    </row>
    <row r="677">
      <c r="A677" s="158"/>
      <c r="B677" s="158"/>
      <c r="C677" s="158"/>
      <c r="D677" s="158"/>
      <c r="E677" s="158"/>
      <c r="F677" s="158"/>
      <c r="G677" s="158"/>
    </row>
    <row r="678">
      <c r="A678" s="158"/>
      <c r="B678" s="158"/>
      <c r="C678" s="158"/>
      <c r="D678" s="158"/>
      <c r="E678" s="158"/>
      <c r="F678" s="158"/>
      <c r="G678" s="158"/>
    </row>
    <row r="679">
      <c r="A679" s="158"/>
      <c r="B679" s="158"/>
      <c r="C679" s="158"/>
      <c r="D679" s="158"/>
      <c r="E679" s="158"/>
      <c r="F679" s="158"/>
      <c r="G679" s="158"/>
    </row>
    <row r="680">
      <c r="A680" s="158"/>
      <c r="B680" s="158"/>
      <c r="C680" s="158"/>
      <c r="D680" s="158"/>
      <c r="E680" s="158"/>
      <c r="F680" s="158"/>
      <c r="G680" s="158"/>
    </row>
    <row r="681">
      <c r="A681" s="158"/>
      <c r="B681" s="158"/>
      <c r="C681" s="158"/>
      <c r="D681" s="158"/>
      <c r="E681" s="158"/>
      <c r="F681" s="158"/>
      <c r="G681" s="158"/>
    </row>
    <row r="682">
      <c r="A682" s="158"/>
      <c r="B682" s="158"/>
      <c r="C682" s="158"/>
      <c r="D682" s="158"/>
      <c r="E682" s="158"/>
      <c r="F682" s="158"/>
      <c r="G682" s="158"/>
    </row>
    <row r="683">
      <c r="A683" s="158"/>
      <c r="B683" s="158"/>
      <c r="C683" s="158"/>
      <c r="D683" s="158"/>
      <c r="E683" s="158"/>
      <c r="F683" s="158"/>
      <c r="G683" s="158"/>
    </row>
    <row r="684">
      <c r="A684" s="158"/>
      <c r="B684" s="158"/>
      <c r="C684" s="158"/>
      <c r="D684" s="158"/>
      <c r="E684" s="158"/>
      <c r="F684" s="158"/>
      <c r="G684" s="158"/>
    </row>
    <row r="685">
      <c r="A685" s="158"/>
      <c r="B685" s="158"/>
      <c r="C685" s="158"/>
      <c r="D685" s="158"/>
      <c r="E685" s="158"/>
      <c r="F685" s="158"/>
      <c r="G685" s="158"/>
    </row>
    <row r="686">
      <c r="A686" s="158"/>
      <c r="B686" s="158"/>
      <c r="C686" s="158"/>
      <c r="D686" s="158"/>
      <c r="E686" s="158"/>
      <c r="F686" s="158"/>
      <c r="G686" s="158"/>
    </row>
    <row r="687">
      <c r="A687" s="158"/>
      <c r="B687" s="158"/>
      <c r="C687" s="158"/>
      <c r="D687" s="158"/>
      <c r="E687" s="158"/>
      <c r="F687" s="158"/>
      <c r="G687" s="158"/>
    </row>
    <row r="688">
      <c r="A688" s="158"/>
      <c r="B688" s="158"/>
      <c r="C688" s="158"/>
      <c r="D688" s="158"/>
      <c r="E688" s="158"/>
      <c r="F688" s="158"/>
      <c r="G688" s="158"/>
    </row>
    <row r="689">
      <c r="A689" s="158"/>
      <c r="B689" s="158"/>
      <c r="C689" s="158"/>
      <c r="D689" s="158"/>
      <c r="E689" s="158"/>
      <c r="F689" s="158"/>
      <c r="G689" s="158"/>
    </row>
    <row r="690">
      <c r="A690" s="158"/>
      <c r="B690" s="158"/>
      <c r="C690" s="158"/>
      <c r="D690" s="158"/>
      <c r="E690" s="158"/>
      <c r="F690" s="158"/>
      <c r="G690" s="158"/>
    </row>
    <row r="691">
      <c r="A691" s="158"/>
      <c r="B691" s="158"/>
      <c r="C691" s="158"/>
      <c r="D691" s="158"/>
      <c r="E691" s="158"/>
      <c r="F691" s="158"/>
      <c r="G691" s="158"/>
    </row>
    <row r="692">
      <c r="A692" s="158"/>
      <c r="B692" s="158"/>
      <c r="C692" s="158"/>
      <c r="D692" s="158"/>
      <c r="E692" s="158"/>
      <c r="F692" s="158"/>
      <c r="G692" s="158"/>
    </row>
    <row r="693">
      <c r="A693" s="158"/>
      <c r="B693" s="158"/>
      <c r="C693" s="158"/>
      <c r="D693" s="158"/>
      <c r="E693" s="158"/>
      <c r="F693" s="158"/>
      <c r="G693" s="158"/>
    </row>
    <row r="694">
      <c r="A694" s="158"/>
      <c r="B694" s="158"/>
      <c r="C694" s="158"/>
      <c r="D694" s="158"/>
      <c r="E694" s="158"/>
      <c r="F694" s="158"/>
      <c r="G694" s="158"/>
    </row>
    <row r="695">
      <c r="A695" s="158"/>
      <c r="B695" s="158"/>
      <c r="C695" s="158"/>
      <c r="D695" s="158"/>
      <c r="E695" s="158"/>
      <c r="F695" s="158"/>
      <c r="G695" s="158"/>
    </row>
    <row r="696">
      <c r="A696" s="158"/>
      <c r="B696" s="158"/>
      <c r="C696" s="158"/>
      <c r="D696" s="158"/>
      <c r="E696" s="158"/>
      <c r="F696" s="158"/>
      <c r="G696" s="158"/>
    </row>
    <row r="697">
      <c r="A697" s="158"/>
      <c r="B697" s="158"/>
      <c r="C697" s="158"/>
      <c r="D697" s="158"/>
      <c r="E697" s="158"/>
      <c r="F697" s="158"/>
      <c r="G697" s="158"/>
    </row>
    <row r="698">
      <c r="A698" s="158"/>
      <c r="B698" s="158"/>
      <c r="C698" s="158"/>
      <c r="D698" s="158"/>
      <c r="E698" s="158"/>
      <c r="F698" s="158"/>
      <c r="G698" s="158"/>
    </row>
    <row r="699">
      <c r="A699" s="158"/>
      <c r="B699" s="158"/>
      <c r="C699" s="158"/>
      <c r="D699" s="158"/>
      <c r="E699" s="158"/>
      <c r="F699" s="158"/>
      <c r="G699" s="158"/>
    </row>
    <row r="700">
      <c r="A700" s="158"/>
      <c r="B700" s="158"/>
      <c r="C700" s="158"/>
      <c r="D700" s="158"/>
      <c r="E700" s="158"/>
      <c r="F700" s="158"/>
      <c r="G700" s="158"/>
    </row>
    <row r="701">
      <c r="A701" s="158"/>
      <c r="B701" s="158"/>
      <c r="C701" s="158"/>
      <c r="D701" s="158"/>
      <c r="E701" s="158"/>
      <c r="F701" s="158"/>
      <c r="G701" s="158"/>
    </row>
    <row r="702">
      <c r="A702" s="158"/>
      <c r="B702" s="158"/>
      <c r="C702" s="158"/>
      <c r="D702" s="158"/>
      <c r="E702" s="158"/>
      <c r="F702" s="158"/>
      <c r="G702" s="158"/>
    </row>
    <row r="703">
      <c r="A703" s="158"/>
      <c r="B703" s="158"/>
      <c r="C703" s="158"/>
      <c r="D703" s="158"/>
      <c r="E703" s="158"/>
      <c r="F703" s="158"/>
      <c r="G703" s="158"/>
    </row>
    <row r="704">
      <c r="A704" s="158"/>
      <c r="B704" s="158"/>
      <c r="C704" s="158"/>
      <c r="D704" s="158"/>
      <c r="E704" s="158"/>
      <c r="F704" s="158"/>
      <c r="G704" s="158"/>
    </row>
    <row r="705">
      <c r="A705" s="158"/>
      <c r="B705" s="158"/>
      <c r="C705" s="158"/>
      <c r="D705" s="158"/>
      <c r="E705" s="158"/>
      <c r="F705" s="158"/>
      <c r="G705" s="158"/>
    </row>
    <row r="706">
      <c r="A706" s="158"/>
      <c r="B706" s="158"/>
      <c r="C706" s="158"/>
      <c r="D706" s="158"/>
      <c r="E706" s="158"/>
      <c r="F706" s="158"/>
      <c r="G706" s="158"/>
    </row>
    <row r="707">
      <c r="A707" s="158"/>
      <c r="B707" s="158"/>
      <c r="C707" s="158"/>
      <c r="D707" s="158"/>
      <c r="E707" s="158"/>
      <c r="F707" s="158"/>
      <c r="G707" s="158"/>
    </row>
    <row r="708">
      <c r="A708" s="158"/>
      <c r="B708" s="158"/>
      <c r="C708" s="158"/>
      <c r="D708" s="158"/>
      <c r="E708" s="158"/>
      <c r="F708" s="158"/>
      <c r="G708" s="158"/>
    </row>
    <row r="709">
      <c r="A709" s="158"/>
      <c r="B709" s="158"/>
      <c r="C709" s="158"/>
      <c r="D709" s="158"/>
      <c r="E709" s="158"/>
      <c r="F709" s="158"/>
      <c r="G709" s="158"/>
    </row>
    <row r="710">
      <c r="A710" s="158"/>
      <c r="B710" s="158"/>
      <c r="C710" s="158"/>
      <c r="D710" s="158"/>
      <c r="E710" s="158"/>
      <c r="F710" s="158"/>
      <c r="G710" s="158"/>
    </row>
    <row r="711">
      <c r="A711" s="158"/>
      <c r="B711" s="158"/>
      <c r="C711" s="158"/>
      <c r="D711" s="158"/>
      <c r="E711" s="158"/>
      <c r="F711" s="158"/>
      <c r="G711" s="158"/>
    </row>
    <row r="712">
      <c r="A712" s="158"/>
      <c r="B712" s="158"/>
      <c r="C712" s="158"/>
      <c r="D712" s="158"/>
      <c r="E712" s="158"/>
      <c r="F712" s="158"/>
      <c r="G712" s="158"/>
    </row>
    <row r="713">
      <c r="A713" s="158"/>
      <c r="B713" s="158"/>
      <c r="C713" s="158"/>
      <c r="D713" s="158"/>
      <c r="E713" s="158"/>
      <c r="F713" s="158"/>
      <c r="G713" s="158"/>
    </row>
    <row r="714">
      <c r="A714" s="158"/>
      <c r="B714" s="158"/>
      <c r="C714" s="158"/>
      <c r="D714" s="158"/>
      <c r="E714" s="158"/>
      <c r="F714" s="158"/>
      <c r="G714" s="158"/>
    </row>
    <row r="715">
      <c r="A715" s="158"/>
      <c r="B715" s="158"/>
      <c r="C715" s="158"/>
      <c r="D715" s="158"/>
      <c r="E715" s="158"/>
      <c r="F715" s="158"/>
      <c r="G715" s="158"/>
    </row>
    <row r="716">
      <c r="A716" s="158"/>
      <c r="B716" s="158"/>
      <c r="C716" s="158"/>
      <c r="D716" s="158"/>
      <c r="E716" s="158"/>
      <c r="F716" s="158"/>
      <c r="G716" s="158"/>
    </row>
    <row r="717">
      <c r="A717" s="158"/>
      <c r="B717" s="158"/>
      <c r="C717" s="158"/>
      <c r="D717" s="158"/>
      <c r="E717" s="158"/>
      <c r="F717" s="158"/>
      <c r="G717" s="158"/>
    </row>
    <row r="718">
      <c r="A718" s="158"/>
      <c r="B718" s="158"/>
      <c r="C718" s="158"/>
      <c r="D718" s="158"/>
      <c r="E718" s="158"/>
      <c r="F718" s="158"/>
      <c r="G718" s="158"/>
    </row>
    <row r="719">
      <c r="A719" s="158"/>
      <c r="B719" s="158"/>
      <c r="C719" s="158"/>
      <c r="D719" s="158"/>
      <c r="E719" s="158"/>
      <c r="F719" s="158"/>
      <c r="G719" s="158"/>
    </row>
    <row r="720">
      <c r="A720" s="158"/>
      <c r="B720" s="158"/>
      <c r="C720" s="158"/>
      <c r="D720" s="158"/>
      <c r="E720" s="158"/>
      <c r="F720" s="158"/>
      <c r="G720" s="158"/>
    </row>
    <row r="721">
      <c r="A721" s="158"/>
      <c r="B721" s="158"/>
      <c r="C721" s="158"/>
      <c r="D721" s="158"/>
      <c r="E721" s="158"/>
      <c r="F721" s="158"/>
      <c r="G721" s="158"/>
    </row>
    <row r="722">
      <c r="A722" s="158"/>
      <c r="B722" s="158"/>
      <c r="C722" s="158"/>
      <c r="D722" s="158"/>
      <c r="E722" s="158"/>
      <c r="F722" s="158"/>
      <c r="G722" s="158"/>
    </row>
    <row r="723">
      <c r="A723" s="158"/>
      <c r="B723" s="158"/>
      <c r="C723" s="158"/>
      <c r="D723" s="158"/>
      <c r="E723" s="158"/>
      <c r="F723" s="158"/>
      <c r="G723" s="158"/>
    </row>
    <row r="724">
      <c r="A724" s="158"/>
      <c r="B724" s="158"/>
      <c r="C724" s="158"/>
      <c r="D724" s="158"/>
      <c r="E724" s="158"/>
      <c r="F724" s="158"/>
      <c r="G724" s="158"/>
    </row>
    <row r="725">
      <c r="A725" s="158"/>
      <c r="B725" s="158"/>
      <c r="C725" s="158"/>
      <c r="D725" s="158"/>
      <c r="E725" s="158"/>
      <c r="F725" s="158"/>
      <c r="G725" s="158"/>
    </row>
    <row r="726">
      <c r="A726" s="158"/>
      <c r="B726" s="158"/>
      <c r="C726" s="158"/>
      <c r="D726" s="158"/>
      <c r="E726" s="158"/>
      <c r="F726" s="158"/>
      <c r="G726" s="158"/>
    </row>
    <row r="727">
      <c r="A727" s="158"/>
      <c r="B727" s="158"/>
      <c r="C727" s="158"/>
      <c r="D727" s="158"/>
      <c r="E727" s="158"/>
      <c r="F727" s="158"/>
      <c r="G727" s="158"/>
    </row>
    <row r="728">
      <c r="A728" s="158"/>
      <c r="B728" s="158"/>
      <c r="C728" s="158"/>
      <c r="D728" s="158"/>
      <c r="E728" s="158"/>
      <c r="F728" s="158"/>
      <c r="G728" s="158"/>
    </row>
    <row r="729">
      <c r="A729" s="158"/>
      <c r="B729" s="158"/>
      <c r="C729" s="158"/>
      <c r="D729" s="158"/>
      <c r="E729" s="158"/>
      <c r="F729" s="158"/>
      <c r="G729" s="158"/>
    </row>
    <row r="730">
      <c r="A730" s="158"/>
      <c r="B730" s="158"/>
      <c r="C730" s="158"/>
      <c r="D730" s="158"/>
      <c r="E730" s="158"/>
      <c r="F730" s="158"/>
      <c r="G730" s="158"/>
    </row>
    <row r="731">
      <c r="A731" s="158"/>
      <c r="B731" s="158"/>
      <c r="C731" s="158"/>
      <c r="D731" s="158"/>
      <c r="E731" s="158"/>
      <c r="F731" s="158"/>
      <c r="G731" s="158"/>
    </row>
    <row r="732">
      <c r="A732" s="158"/>
      <c r="B732" s="158"/>
      <c r="C732" s="158"/>
      <c r="D732" s="158"/>
      <c r="E732" s="158"/>
      <c r="F732" s="158"/>
      <c r="G732" s="158"/>
    </row>
    <row r="733">
      <c r="A733" s="158"/>
      <c r="B733" s="158"/>
      <c r="C733" s="158"/>
      <c r="D733" s="158"/>
      <c r="E733" s="158"/>
      <c r="F733" s="158"/>
      <c r="G733" s="158"/>
    </row>
    <row r="734">
      <c r="A734" s="158"/>
      <c r="B734" s="158"/>
      <c r="C734" s="158"/>
      <c r="D734" s="158"/>
      <c r="E734" s="158"/>
      <c r="F734" s="158"/>
      <c r="G734" s="158"/>
    </row>
    <row r="735">
      <c r="A735" s="158"/>
      <c r="B735" s="158"/>
      <c r="C735" s="158"/>
      <c r="D735" s="158"/>
      <c r="E735" s="158"/>
      <c r="F735" s="158"/>
      <c r="G735" s="158"/>
    </row>
    <row r="736">
      <c r="A736" s="158"/>
      <c r="B736" s="158"/>
      <c r="C736" s="158"/>
      <c r="D736" s="158"/>
      <c r="E736" s="158"/>
      <c r="F736" s="158"/>
      <c r="G736" s="158"/>
    </row>
    <row r="737">
      <c r="A737" s="158"/>
      <c r="B737" s="158"/>
      <c r="C737" s="158"/>
      <c r="D737" s="158"/>
      <c r="E737" s="158"/>
      <c r="F737" s="158"/>
      <c r="G737" s="158"/>
    </row>
    <row r="738">
      <c r="A738" s="158"/>
      <c r="B738" s="158"/>
      <c r="C738" s="158"/>
      <c r="D738" s="158"/>
      <c r="E738" s="158"/>
      <c r="F738" s="158"/>
      <c r="G738" s="158"/>
    </row>
    <row r="739">
      <c r="A739" s="158"/>
      <c r="B739" s="158"/>
      <c r="C739" s="158"/>
      <c r="D739" s="158"/>
      <c r="E739" s="158"/>
      <c r="F739" s="158"/>
      <c r="G739" s="158"/>
    </row>
    <row r="740">
      <c r="A740" s="158"/>
      <c r="B740" s="158"/>
      <c r="C740" s="158"/>
      <c r="D740" s="158"/>
      <c r="E740" s="158"/>
      <c r="F740" s="158"/>
      <c r="G740" s="158"/>
    </row>
    <row r="741">
      <c r="A741" s="158"/>
      <c r="B741" s="158"/>
      <c r="C741" s="158"/>
      <c r="D741" s="158"/>
      <c r="E741" s="158"/>
      <c r="F741" s="158"/>
      <c r="G741" s="158"/>
    </row>
    <row r="742">
      <c r="A742" s="158"/>
      <c r="B742" s="158"/>
      <c r="C742" s="158"/>
      <c r="D742" s="158"/>
      <c r="E742" s="158"/>
      <c r="F742" s="158"/>
      <c r="G742" s="158"/>
    </row>
    <row r="743">
      <c r="A743" s="158"/>
      <c r="B743" s="158"/>
      <c r="C743" s="158"/>
      <c r="D743" s="158"/>
      <c r="E743" s="158"/>
      <c r="F743" s="158"/>
      <c r="G743" s="158"/>
    </row>
    <row r="744">
      <c r="A744" s="158"/>
      <c r="B744" s="158"/>
      <c r="C744" s="158"/>
      <c r="D744" s="158"/>
      <c r="E744" s="158"/>
      <c r="F744" s="158"/>
      <c r="G744" s="158"/>
    </row>
    <row r="745">
      <c r="A745" s="158"/>
      <c r="B745" s="158"/>
      <c r="C745" s="158"/>
      <c r="D745" s="158"/>
      <c r="E745" s="158"/>
      <c r="F745" s="158"/>
      <c r="G745" s="158"/>
    </row>
    <row r="746">
      <c r="A746" s="158"/>
      <c r="B746" s="158"/>
      <c r="C746" s="158"/>
      <c r="D746" s="158"/>
      <c r="E746" s="158"/>
      <c r="F746" s="158"/>
      <c r="G746" s="158"/>
    </row>
    <row r="747">
      <c r="A747" s="158"/>
      <c r="B747" s="158"/>
      <c r="C747" s="158"/>
      <c r="D747" s="158"/>
      <c r="E747" s="158"/>
      <c r="F747" s="158"/>
      <c r="G747" s="158"/>
    </row>
    <row r="748">
      <c r="A748" s="158"/>
      <c r="B748" s="158"/>
      <c r="C748" s="158"/>
      <c r="D748" s="158"/>
      <c r="E748" s="158"/>
      <c r="F748" s="158"/>
      <c r="G748" s="158"/>
    </row>
    <row r="749">
      <c r="A749" s="158"/>
      <c r="B749" s="158"/>
      <c r="C749" s="158"/>
      <c r="D749" s="158"/>
      <c r="E749" s="158"/>
      <c r="F749" s="158"/>
      <c r="G749" s="158"/>
    </row>
    <row r="750">
      <c r="A750" s="158"/>
      <c r="B750" s="158"/>
      <c r="C750" s="158"/>
      <c r="D750" s="158"/>
      <c r="E750" s="158"/>
      <c r="F750" s="158"/>
      <c r="G750" s="158"/>
    </row>
    <row r="751">
      <c r="A751" s="158"/>
      <c r="B751" s="158"/>
      <c r="C751" s="158"/>
      <c r="D751" s="158"/>
      <c r="E751" s="158"/>
      <c r="F751" s="158"/>
      <c r="G751" s="158"/>
    </row>
    <row r="752">
      <c r="A752" s="158"/>
      <c r="B752" s="158"/>
      <c r="C752" s="158"/>
      <c r="D752" s="158"/>
      <c r="E752" s="158"/>
      <c r="F752" s="158"/>
      <c r="G752" s="158"/>
    </row>
    <row r="753">
      <c r="A753" s="158"/>
      <c r="B753" s="158"/>
      <c r="C753" s="158"/>
      <c r="D753" s="158"/>
      <c r="E753" s="158"/>
      <c r="F753" s="158"/>
      <c r="G753" s="158"/>
    </row>
    <row r="754">
      <c r="A754" s="158"/>
      <c r="B754" s="158"/>
      <c r="C754" s="158"/>
      <c r="D754" s="158"/>
      <c r="E754" s="158"/>
      <c r="F754" s="158"/>
      <c r="G754" s="158"/>
    </row>
    <row r="755">
      <c r="A755" s="158"/>
      <c r="B755" s="158"/>
      <c r="C755" s="158"/>
      <c r="D755" s="158"/>
      <c r="E755" s="158"/>
      <c r="F755" s="158"/>
      <c r="G755" s="158"/>
    </row>
    <row r="756">
      <c r="A756" s="158"/>
      <c r="B756" s="158"/>
      <c r="C756" s="158"/>
      <c r="D756" s="158"/>
      <c r="E756" s="158"/>
      <c r="F756" s="158"/>
      <c r="G756" s="158"/>
    </row>
    <row r="757">
      <c r="A757" s="158"/>
      <c r="B757" s="158"/>
      <c r="C757" s="158"/>
      <c r="D757" s="158"/>
      <c r="E757" s="158"/>
      <c r="F757" s="158"/>
      <c r="G757" s="158"/>
    </row>
    <row r="758">
      <c r="A758" s="158"/>
      <c r="B758" s="158"/>
      <c r="C758" s="158"/>
      <c r="D758" s="158"/>
      <c r="E758" s="158"/>
      <c r="F758" s="158"/>
      <c r="G758" s="158"/>
    </row>
    <row r="759">
      <c r="A759" s="158"/>
      <c r="B759" s="158"/>
      <c r="C759" s="158"/>
      <c r="D759" s="158"/>
      <c r="E759" s="158"/>
      <c r="F759" s="158"/>
      <c r="G759" s="158"/>
    </row>
    <row r="760">
      <c r="A760" s="158"/>
      <c r="B760" s="158"/>
      <c r="C760" s="158"/>
      <c r="D760" s="158"/>
      <c r="E760" s="158"/>
      <c r="F760" s="158"/>
      <c r="G760" s="158"/>
    </row>
    <row r="761">
      <c r="A761" s="158"/>
      <c r="B761" s="158"/>
      <c r="C761" s="158"/>
      <c r="D761" s="158"/>
      <c r="E761" s="158"/>
      <c r="F761" s="158"/>
      <c r="G761" s="158"/>
    </row>
    <row r="762">
      <c r="A762" s="158"/>
      <c r="B762" s="158"/>
      <c r="C762" s="158"/>
      <c r="D762" s="158"/>
      <c r="E762" s="158"/>
      <c r="F762" s="158"/>
      <c r="G762" s="158"/>
    </row>
    <row r="763">
      <c r="A763" s="158"/>
      <c r="B763" s="158"/>
      <c r="C763" s="158"/>
      <c r="D763" s="158"/>
      <c r="E763" s="158"/>
      <c r="F763" s="158"/>
      <c r="G763" s="158"/>
    </row>
    <row r="764">
      <c r="A764" s="158"/>
      <c r="B764" s="158"/>
      <c r="C764" s="158"/>
      <c r="D764" s="158"/>
      <c r="E764" s="158"/>
      <c r="F764" s="158"/>
      <c r="G764" s="158"/>
    </row>
    <row r="765">
      <c r="A765" s="158"/>
      <c r="B765" s="158"/>
      <c r="C765" s="158"/>
      <c r="D765" s="158"/>
      <c r="E765" s="158"/>
      <c r="F765" s="158"/>
      <c r="G765" s="158"/>
    </row>
    <row r="766">
      <c r="A766" s="158"/>
      <c r="B766" s="158"/>
      <c r="C766" s="158"/>
      <c r="D766" s="158"/>
      <c r="E766" s="158"/>
      <c r="F766" s="158"/>
      <c r="G766" s="158"/>
    </row>
    <row r="767">
      <c r="A767" s="158"/>
      <c r="B767" s="158"/>
      <c r="C767" s="158"/>
      <c r="D767" s="158"/>
      <c r="E767" s="158"/>
      <c r="F767" s="158"/>
      <c r="G767" s="158"/>
    </row>
    <row r="768">
      <c r="A768" s="158"/>
      <c r="B768" s="158"/>
      <c r="C768" s="158"/>
      <c r="D768" s="158"/>
      <c r="E768" s="158"/>
      <c r="F768" s="158"/>
      <c r="G768" s="158"/>
    </row>
    <row r="769">
      <c r="A769" s="158"/>
      <c r="B769" s="158"/>
      <c r="C769" s="158"/>
      <c r="D769" s="158"/>
      <c r="E769" s="158"/>
      <c r="F769" s="158"/>
      <c r="G769" s="158"/>
    </row>
    <row r="770">
      <c r="A770" s="158"/>
      <c r="B770" s="158"/>
      <c r="C770" s="158"/>
      <c r="D770" s="158"/>
      <c r="E770" s="158"/>
      <c r="F770" s="158"/>
      <c r="G770" s="158"/>
    </row>
    <row r="771">
      <c r="A771" s="158"/>
      <c r="B771" s="158"/>
      <c r="C771" s="158"/>
      <c r="D771" s="158"/>
      <c r="E771" s="158"/>
      <c r="F771" s="158"/>
      <c r="G771" s="158"/>
    </row>
    <row r="772">
      <c r="A772" s="158"/>
      <c r="B772" s="158"/>
      <c r="C772" s="158"/>
      <c r="D772" s="158"/>
      <c r="E772" s="158"/>
      <c r="F772" s="158"/>
      <c r="G772" s="158"/>
    </row>
    <row r="773">
      <c r="A773" s="158"/>
      <c r="B773" s="158"/>
      <c r="C773" s="158"/>
      <c r="D773" s="158"/>
      <c r="E773" s="158"/>
      <c r="F773" s="158"/>
      <c r="G773" s="158"/>
    </row>
    <row r="774">
      <c r="A774" s="158"/>
      <c r="B774" s="158"/>
      <c r="C774" s="158"/>
      <c r="D774" s="158"/>
      <c r="E774" s="158"/>
      <c r="F774" s="158"/>
      <c r="G774" s="158"/>
    </row>
    <row r="775">
      <c r="A775" s="158"/>
      <c r="B775" s="158"/>
      <c r="C775" s="158"/>
      <c r="D775" s="158"/>
      <c r="E775" s="158"/>
      <c r="F775" s="158"/>
      <c r="G775" s="158"/>
    </row>
    <row r="776">
      <c r="A776" s="158"/>
      <c r="B776" s="158"/>
      <c r="C776" s="158"/>
      <c r="D776" s="158"/>
      <c r="E776" s="158"/>
      <c r="F776" s="158"/>
      <c r="G776" s="158"/>
    </row>
    <row r="777">
      <c r="A777" s="158"/>
      <c r="B777" s="158"/>
      <c r="C777" s="158"/>
      <c r="D777" s="158"/>
      <c r="E777" s="158"/>
      <c r="F777" s="158"/>
      <c r="G777" s="158"/>
    </row>
    <row r="778">
      <c r="A778" s="158"/>
      <c r="B778" s="158"/>
      <c r="C778" s="158"/>
      <c r="D778" s="158"/>
      <c r="E778" s="158"/>
      <c r="F778" s="158"/>
      <c r="G778" s="158"/>
    </row>
    <row r="779">
      <c r="A779" s="158"/>
      <c r="B779" s="158"/>
      <c r="C779" s="158"/>
      <c r="D779" s="158"/>
      <c r="E779" s="158"/>
      <c r="F779" s="158"/>
      <c r="G779" s="158"/>
    </row>
    <row r="780">
      <c r="A780" s="158"/>
      <c r="B780" s="158"/>
      <c r="C780" s="158"/>
      <c r="D780" s="158"/>
      <c r="E780" s="158"/>
      <c r="F780" s="158"/>
      <c r="G780" s="158"/>
    </row>
    <row r="781">
      <c r="A781" s="158"/>
      <c r="B781" s="158"/>
      <c r="C781" s="158"/>
      <c r="D781" s="158"/>
      <c r="E781" s="158"/>
      <c r="F781" s="158"/>
      <c r="G781" s="158"/>
    </row>
    <row r="782">
      <c r="A782" s="158"/>
      <c r="B782" s="158"/>
      <c r="C782" s="158"/>
      <c r="D782" s="158"/>
      <c r="E782" s="158"/>
      <c r="F782" s="158"/>
      <c r="G782" s="158"/>
    </row>
    <row r="783">
      <c r="A783" s="158"/>
      <c r="B783" s="158"/>
      <c r="C783" s="158"/>
      <c r="D783" s="158"/>
      <c r="E783" s="158"/>
      <c r="F783" s="158"/>
      <c r="G783" s="158"/>
    </row>
    <row r="784">
      <c r="A784" s="158"/>
      <c r="B784" s="158"/>
      <c r="C784" s="158"/>
      <c r="D784" s="158"/>
      <c r="E784" s="158"/>
      <c r="F784" s="158"/>
      <c r="G784" s="158"/>
    </row>
    <row r="785">
      <c r="A785" s="158"/>
      <c r="B785" s="158"/>
      <c r="C785" s="158"/>
      <c r="D785" s="158"/>
      <c r="E785" s="158"/>
      <c r="F785" s="158"/>
      <c r="G785" s="158"/>
    </row>
    <row r="786">
      <c r="A786" s="158"/>
      <c r="B786" s="158"/>
      <c r="C786" s="158"/>
      <c r="D786" s="158"/>
      <c r="E786" s="158"/>
      <c r="F786" s="158"/>
      <c r="G786" s="158"/>
    </row>
    <row r="787">
      <c r="A787" s="158"/>
      <c r="B787" s="158"/>
      <c r="C787" s="158"/>
      <c r="D787" s="158"/>
      <c r="E787" s="158"/>
      <c r="F787" s="158"/>
      <c r="G787" s="158"/>
    </row>
    <row r="788">
      <c r="A788" s="158"/>
      <c r="B788" s="158"/>
      <c r="C788" s="158"/>
      <c r="D788" s="158"/>
      <c r="E788" s="158"/>
      <c r="F788" s="158"/>
      <c r="G788" s="158"/>
    </row>
    <row r="789">
      <c r="A789" s="158"/>
      <c r="B789" s="158"/>
      <c r="C789" s="158"/>
      <c r="D789" s="158"/>
      <c r="E789" s="158"/>
      <c r="F789" s="158"/>
      <c r="G789" s="158"/>
    </row>
    <row r="790">
      <c r="A790" s="158"/>
      <c r="B790" s="158"/>
      <c r="C790" s="158"/>
      <c r="D790" s="158"/>
      <c r="E790" s="158"/>
      <c r="F790" s="158"/>
      <c r="G790" s="158"/>
    </row>
    <row r="791">
      <c r="A791" s="158"/>
      <c r="B791" s="158"/>
      <c r="C791" s="158"/>
      <c r="D791" s="158"/>
      <c r="E791" s="158"/>
      <c r="F791" s="158"/>
      <c r="G791" s="158"/>
    </row>
    <row r="792">
      <c r="A792" s="158"/>
      <c r="B792" s="158"/>
      <c r="C792" s="158"/>
      <c r="D792" s="158"/>
      <c r="E792" s="158"/>
      <c r="F792" s="158"/>
      <c r="G792" s="158"/>
    </row>
    <row r="793">
      <c r="A793" s="158"/>
      <c r="B793" s="158"/>
      <c r="C793" s="158"/>
      <c r="D793" s="158"/>
      <c r="E793" s="158"/>
      <c r="F793" s="158"/>
      <c r="G793" s="158"/>
    </row>
    <row r="794">
      <c r="A794" s="158"/>
      <c r="B794" s="158"/>
      <c r="C794" s="158"/>
      <c r="D794" s="158"/>
      <c r="E794" s="158"/>
      <c r="F794" s="158"/>
      <c r="G794" s="158"/>
    </row>
    <row r="795">
      <c r="A795" s="158"/>
      <c r="B795" s="158"/>
      <c r="C795" s="158"/>
      <c r="D795" s="158"/>
      <c r="E795" s="158"/>
      <c r="F795" s="158"/>
      <c r="G795" s="158"/>
    </row>
    <row r="796">
      <c r="A796" s="158"/>
      <c r="B796" s="158"/>
      <c r="C796" s="158"/>
      <c r="D796" s="158"/>
      <c r="E796" s="158"/>
      <c r="F796" s="158"/>
      <c r="G796" s="158"/>
    </row>
    <row r="797">
      <c r="A797" s="158"/>
      <c r="B797" s="158"/>
      <c r="C797" s="158"/>
      <c r="D797" s="158"/>
      <c r="E797" s="158"/>
      <c r="F797" s="158"/>
      <c r="G797" s="158"/>
    </row>
    <row r="798">
      <c r="A798" s="158"/>
      <c r="B798" s="158"/>
      <c r="C798" s="158"/>
      <c r="D798" s="158"/>
      <c r="E798" s="158"/>
      <c r="F798" s="158"/>
      <c r="G798" s="158"/>
    </row>
    <row r="799">
      <c r="A799" s="158"/>
      <c r="B799" s="158"/>
      <c r="C799" s="158"/>
      <c r="D799" s="158"/>
      <c r="E799" s="158"/>
      <c r="F799" s="158"/>
      <c r="G799" s="158"/>
    </row>
    <row r="800">
      <c r="A800" s="158"/>
      <c r="B800" s="158"/>
      <c r="C800" s="158"/>
      <c r="D800" s="158"/>
      <c r="E800" s="158"/>
      <c r="F800" s="158"/>
      <c r="G800" s="158"/>
    </row>
    <row r="801">
      <c r="A801" s="158"/>
      <c r="B801" s="158"/>
      <c r="C801" s="158"/>
      <c r="D801" s="158"/>
      <c r="E801" s="158"/>
      <c r="F801" s="158"/>
      <c r="G801" s="158"/>
    </row>
    <row r="802">
      <c r="A802" s="158"/>
      <c r="B802" s="158"/>
      <c r="C802" s="158"/>
      <c r="D802" s="158"/>
      <c r="E802" s="158"/>
      <c r="F802" s="158"/>
      <c r="G802" s="158"/>
    </row>
    <row r="803">
      <c r="A803" s="158"/>
      <c r="B803" s="158"/>
      <c r="C803" s="158"/>
      <c r="D803" s="158"/>
      <c r="E803" s="158"/>
      <c r="F803" s="158"/>
      <c r="G803" s="158"/>
    </row>
    <row r="804">
      <c r="A804" s="158"/>
      <c r="B804" s="158"/>
      <c r="C804" s="158"/>
      <c r="D804" s="158"/>
      <c r="E804" s="158"/>
      <c r="F804" s="158"/>
      <c r="G804" s="158"/>
    </row>
    <row r="805">
      <c r="A805" s="158"/>
      <c r="B805" s="158"/>
      <c r="C805" s="158"/>
      <c r="D805" s="158"/>
      <c r="E805" s="158"/>
      <c r="F805" s="158"/>
      <c r="G805" s="158"/>
    </row>
    <row r="806">
      <c r="A806" s="158"/>
      <c r="B806" s="158"/>
      <c r="C806" s="158"/>
      <c r="D806" s="158"/>
      <c r="E806" s="158"/>
      <c r="F806" s="158"/>
      <c r="G806" s="158"/>
    </row>
    <row r="807">
      <c r="A807" s="158"/>
      <c r="B807" s="158"/>
      <c r="C807" s="158"/>
      <c r="D807" s="158"/>
      <c r="E807" s="158"/>
      <c r="F807" s="158"/>
      <c r="G807" s="158"/>
    </row>
    <row r="808">
      <c r="A808" s="158"/>
      <c r="B808" s="158"/>
      <c r="C808" s="158"/>
      <c r="D808" s="158"/>
      <c r="E808" s="158"/>
      <c r="F808" s="158"/>
      <c r="G808" s="158"/>
    </row>
    <row r="809">
      <c r="A809" s="158"/>
      <c r="B809" s="158"/>
      <c r="C809" s="158"/>
      <c r="D809" s="158"/>
      <c r="E809" s="158"/>
      <c r="F809" s="158"/>
      <c r="G809" s="158"/>
    </row>
    <row r="810">
      <c r="A810" s="158"/>
      <c r="B810" s="158"/>
      <c r="C810" s="158"/>
      <c r="D810" s="158"/>
      <c r="E810" s="158"/>
      <c r="F810" s="158"/>
      <c r="G810" s="158"/>
    </row>
    <row r="811">
      <c r="A811" s="158"/>
      <c r="B811" s="158"/>
      <c r="C811" s="158"/>
      <c r="D811" s="158"/>
      <c r="E811" s="158"/>
      <c r="F811" s="158"/>
      <c r="G811" s="158"/>
    </row>
    <row r="812">
      <c r="A812" s="158"/>
      <c r="B812" s="158"/>
      <c r="C812" s="158"/>
      <c r="D812" s="158"/>
      <c r="E812" s="158"/>
      <c r="F812" s="158"/>
      <c r="G812" s="158"/>
    </row>
    <row r="813">
      <c r="A813" s="158"/>
      <c r="B813" s="158"/>
      <c r="C813" s="158"/>
      <c r="D813" s="158"/>
      <c r="E813" s="158"/>
      <c r="F813" s="158"/>
      <c r="G813" s="158"/>
    </row>
    <row r="814">
      <c r="A814" s="158"/>
      <c r="B814" s="158"/>
      <c r="C814" s="158"/>
      <c r="D814" s="158"/>
      <c r="E814" s="158"/>
      <c r="F814" s="158"/>
      <c r="G814" s="158"/>
    </row>
    <row r="815">
      <c r="A815" s="158"/>
      <c r="B815" s="158"/>
      <c r="C815" s="158"/>
      <c r="D815" s="158"/>
      <c r="E815" s="158"/>
      <c r="F815" s="158"/>
      <c r="G815" s="158"/>
    </row>
    <row r="816">
      <c r="A816" s="158"/>
      <c r="B816" s="158"/>
      <c r="C816" s="158"/>
      <c r="D816" s="158"/>
      <c r="E816" s="158"/>
      <c r="F816" s="158"/>
      <c r="G816" s="158"/>
    </row>
    <row r="817">
      <c r="A817" s="158"/>
      <c r="B817" s="158"/>
      <c r="C817" s="158"/>
      <c r="D817" s="158"/>
      <c r="E817" s="158"/>
      <c r="F817" s="158"/>
      <c r="G817" s="158"/>
    </row>
    <row r="818">
      <c r="A818" s="158"/>
      <c r="B818" s="158"/>
      <c r="C818" s="158"/>
      <c r="D818" s="158"/>
      <c r="E818" s="158"/>
      <c r="F818" s="158"/>
      <c r="G818" s="158"/>
    </row>
    <row r="819">
      <c r="A819" s="158"/>
      <c r="B819" s="158"/>
      <c r="C819" s="158"/>
      <c r="D819" s="158"/>
      <c r="E819" s="158"/>
      <c r="F819" s="158"/>
      <c r="G819" s="158"/>
    </row>
    <row r="820">
      <c r="A820" s="158"/>
      <c r="B820" s="158"/>
      <c r="C820" s="158"/>
      <c r="D820" s="158"/>
      <c r="E820" s="158"/>
      <c r="F820" s="158"/>
      <c r="G820" s="158"/>
    </row>
    <row r="821">
      <c r="A821" s="158"/>
      <c r="B821" s="158"/>
      <c r="C821" s="158"/>
      <c r="D821" s="158"/>
      <c r="E821" s="158"/>
      <c r="F821" s="158"/>
      <c r="G821" s="158"/>
    </row>
    <row r="822">
      <c r="A822" s="158"/>
      <c r="B822" s="158"/>
      <c r="C822" s="158"/>
      <c r="D822" s="158"/>
      <c r="E822" s="158"/>
      <c r="F822" s="158"/>
      <c r="G822" s="158"/>
    </row>
    <row r="823">
      <c r="A823" s="158"/>
      <c r="B823" s="158"/>
      <c r="C823" s="158"/>
      <c r="D823" s="158"/>
      <c r="E823" s="158"/>
      <c r="F823" s="158"/>
      <c r="G823" s="158"/>
    </row>
    <row r="824">
      <c r="A824" s="158"/>
      <c r="B824" s="158"/>
      <c r="C824" s="158"/>
      <c r="D824" s="158"/>
      <c r="E824" s="158"/>
      <c r="F824" s="158"/>
      <c r="G824" s="158"/>
    </row>
    <row r="825">
      <c r="A825" s="158"/>
      <c r="B825" s="158"/>
      <c r="C825" s="158"/>
      <c r="D825" s="158"/>
      <c r="E825" s="158"/>
      <c r="F825" s="158"/>
      <c r="G825" s="158"/>
    </row>
    <row r="826">
      <c r="A826" s="158"/>
      <c r="B826" s="158"/>
      <c r="C826" s="158"/>
      <c r="D826" s="158"/>
      <c r="E826" s="158"/>
      <c r="F826" s="158"/>
      <c r="G826" s="158"/>
    </row>
    <row r="827">
      <c r="A827" s="158"/>
      <c r="B827" s="158"/>
      <c r="C827" s="158"/>
      <c r="D827" s="158"/>
      <c r="E827" s="158"/>
      <c r="F827" s="158"/>
      <c r="G827" s="158"/>
    </row>
    <row r="828">
      <c r="A828" s="158"/>
      <c r="B828" s="158"/>
      <c r="C828" s="158"/>
      <c r="D828" s="158"/>
      <c r="E828" s="158"/>
      <c r="F828" s="158"/>
      <c r="G828" s="158"/>
    </row>
    <row r="829">
      <c r="A829" s="158"/>
      <c r="B829" s="158"/>
      <c r="C829" s="158"/>
      <c r="D829" s="158"/>
      <c r="E829" s="158"/>
      <c r="F829" s="158"/>
      <c r="G829" s="158"/>
    </row>
    <row r="830">
      <c r="A830" s="158"/>
      <c r="B830" s="158"/>
      <c r="C830" s="158"/>
      <c r="D830" s="158"/>
      <c r="E830" s="158"/>
      <c r="F830" s="158"/>
      <c r="G830" s="158"/>
    </row>
    <row r="831">
      <c r="A831" s="158"/>
      <c r="B831" s="158"/>
      <c r="C831" s="158"/>
      <c r="D831" s="158"/>
      <c r="E831" s="158"/>
      <c r="F831" s="158"/>
      <c r="G831" s="158"/>
    </row>
    <row r="832">
      <c r="A832" s="158"/>
      <c r="B832" s="158"/>
      <c r="C832" s="158"/>
      <c r="D832" s="158"/>
      <c r="E832" s="158"/>
      <c r="F832" s="158"/>
      <c r="G832" s="158"/>
    </row>
    <row r="833">
      <c r="A833" s="158"/>
      <c r="B833" s="158"/>
      <c r="C833" s="158"/>
      <c r="D833" s="158"/>
      <c r="E833" s="158"/>
      <c r="F833" s="158"/>
      <c r="G833" s="158"/>
    </row>
    <row r="834">
      <c r="A834" s="158"/>
      <c r="B834" s="158"/>
      <c r="C834" s="158"/>
      <c r="D834" s="158"/>
      <c r="E834" s="158"/>
      <c r="F834" s="158"/>
      <c r="G834" s="158"/>
    </row>
    <row r="835">
      <c r="A835" s="158"/>
      <c r="B835" s="158"/>
      <c r="C835" s="158"/>
      <c r="D835" s="158"/>
      <c r="E835" s="158"/>
      <c r="F835" s="158"/>
      <c r="G835" s="158"/>
    </row>
    <row r="836">
      <c r="A836" s="158"/>
      <c r="B836" s="158"/>
      <c r="C836" s="158"/>
      <c r="D836" s="158"/>
      <c r="E836" s="158"/>
      <c r="F836" s="158"/>
      <c r="G836" s="158"/>
    </row>
    <row r="837">
      <c r="A837" s="158"/>
      <c r="B837" s="158"/>
      <c r="C837" s="158"/>
      <c r="D837" s="158"/>
      <c r="E837" s="158"/>
      <c r="F837" s="158"/>
      <c r="G837" s="158"/>
    </row>
    <row r="838">
      <c r="A838" s="158"/>
      <c r="B838" s="158"/>
      <c r="C838" s="158"/>
      <c r="D838" s="158"/>
      <c r="E838" s="158"/>
      <c r="F838" s="158"/>
      <c r="G838" s="158"/>
    </row>
    <row r="839">
      <c r="A839" s="158"/>
      <c r="B839" s="158"/>
      <c r="C839" s="158"/>
      <c r="D839" s="158"/>
      <c r="E839" s="158"/>
      <c r="F839" s="158"/>
      <c r="G839" s="158"/>
    </row>
    <row r="840">
      <c r="A840" s="158"/>
      <c r="B840" s="158"/>
      <c r="C840" s="158"/>
      <c r="D840" s="158"/>
      <c r="E840" s="158"/>
      <c r="F840" s="158"/>
      <c r="G840" s="158"/>
    </row>
    <row r="841">
      <c r="A841" s="158"/>
      <c r="B841" s="158"/>
      <c r="C841" s="158"/>
      <c r="D841" s="158"/>
      <c r="E841" s="158"/>
      <c r="F841" s="158"/>
      <c r="G841" s="158"/>
    </row>
    <row r="842">
      <c r="A842" s="158"/>
      <c r="B842" s="158"/>
      <c r="C842" s="158"/>
      <c r="D842" s="158"/>
      <c r="E842" s="158"/>
      <c r="F842" s="158"/>
      <c r="G842" s="158"/>
    </row>
    <row r="843">
      <c r="A843" s="158"/>
      <c r="B843" s="158"/>
      <c r="C843" s="158"/>
      <c r="D843" s="158"/>
      <c r="E843" s="158"/>
      <c r="F843" s="158"/>
      <c r="G843" s="158"/>
    </row>
    <row r="844">
      <c r="A844" s="158"/>
      <c r="B844" s="158"/>
      <c r="C844" s="158"/>
      <c r="D844" s="158"/>
      <c r="E844" s="158"/>
      <c r="F844" s="158"/>
      <c r="G844" s="158"/>
    </row>
    <row r="845">
      <c r="A845" s="158"/>
      <c r="B845" s="158"/>
      <c r="C845" s="158"/>
      <c r="D845" s="158"/>
      <c r="E845" s="158"/>
      <c r="F845" s="158"/>
      <c r="G845" s="158"/>
    </row>
    <row r="846">
      <c r="A846" s="158"/>
      <c r="B846" s="158"/>
      <c r="C846" s="158"/>
      <c r="D846" s="158"/>
      <c r="E846" s="158"/>
      <c r="F846" s="158"/>
      <c r="G846" s="158"/>
    </row>
    <row r="847">
      <c r="A847" s="158"/>
      <c r="B847" s="158"/>
      <c r="C847" s="158"/>
      <c r="D847" s="158"/>
      <c r="E847" s="158"/>
      <c r="F847" s="158"/>
      <c r="G847" s="158"/>
    </row>
    <row r="848">
      <c r="A848" s="158"/>
      <c r="B848" s="158"/>
      <c r="C848" s="158"/>
      <c r="D848" s="158"/>
      <c r="E848" s="158"/>
      <c r="F848" s="158"/>
      <c r="G848" s="158"/>
    </row>
    <row r="849">
      <c r="A849" s="158"/>
      <c r="B849" s="158"/>
      <c r="C849" s="158"/>
      <c r="D849" s="158"/>
      <c r="E849" s="158"/>
      <c r="F849" s="158"/>
      <c r="G849" s="158"/>
    </row>
    <row r="850">
      <c r="A850" s="158"/>
      <c r="B850" s="158"/>
      <c r="C850" s="158"/>
      <c r="D850" s="158"/>
      <c r="E850" s="158"/>
      <c r="F850" s="158"/>
      <c r="G850" s="158"/>
    </row>
    <row r="851">
      <c r="A851" s="158"/>
      <c r="B851" s="158"/>
      <c r="C851" s="158"/>
      <c r="D851" s="158"/>
      <c r="E851" s="158"/>
      <c r="F851" s="158"/>
      <c r="G851" s="158"/>
    </row>
    <row r="852">
      <c r="A852" s="158"/>
      <c r="B852" s="158"/>
      <c r="C852" s="158"/>
      <c r="D852" s="158"/>
      <c r="E852" s="158"/>
      <c r="F852" s="158"/>
      <c r="G852" s="158"/>
    </row>
    <row r="853">
      <c r="A853" s="158"/>
      <c r="B853" s="158"/>
      <c r="C853" s="158"/>
      <c r="D853" s="158"/>
      <c r="E853" s="158"/>
      <c r="F853" s="158"/>
      <c r="G853" s="158"/>
    </row>
    <row r="854">
      <c r="A854" s="158"/>
      <c r="B854" s="158"/>
      <c r="C854" s="158"/>
      <c r="D854" s="158"/>
      <c r="E854" s="158"/>
      <c r="F854" s="158"/>
      <c r="G854" s="158"/>
    </row>
    <row r="855">
      <c r="A855" s="158"/>
      <c r="B855" s="158"/>
      <c r="C855" s="158"/>
      <c r="D855" s="158"/>
      <c r="E855" s="158"/>
      <c r="F855" s="158"/>
      <c r="G855" s="158"/>
    </row>
    <row r="856">
      <c r="A856" s="158"/>
      <c r="B856" s="158"/>
      <c r="C856" s="158"/>
      <c r="D856" s="158"/>
      <c r="E856" s="158"/>
      <c r="F856" s="158"/>
      <c r="G856" s="158"/>
    </row>
    <row r="857">
      <c r="A857" s="158"/>
      <c r="B857" s="158"/>
      <c r="C857" s="158"/>
      <c r="D857" s="158"/>
      <c r="E857" s="158"/>
      <c r="F857" s="158"/>
      <c r="G857" s="158"/>
    </row>
    <row r="858">
      <c r="A858" s="158"/>
      <c r="B858" s="158"/>
      <c r="C858" s="158"/>
      <c r="D858" s="158"/>
      <c r="E858" s="158"/>
      <c r="F858" s="158"/>
      <c r="G858" s="158"/>
    </row>
    <row r="859">
      <c r="A859" s="158"/>
      <c r="B859" s="158"/>
      <c r="C859" s="158"/>
      <c r="D859" s="158"/>
      <c r="E859" s="158"/>
      <c r="F859" s="158"/>
      <c r="G859" s="158"/>
    </row>
    <row r="860">
      <c r="A860" s="158"/>
      <c r="B860" s="158"/>
      <c r="C860" s="158"/>
      <c r="D860" s="158"/>
      <c r="E860" s="158"/>
      <c r="F860" s="158"/>
      <c r="G860" s="158"/>
    </row>
    <row r="861">
      <c r="A861" s="158"/>
      <c r="B861" s="158"/>
      <c r="C861" s="158"/>
      <c r="D861" s="158"/>
      <c r="E861" s="158"/>
      <c r="F861" s="158"/>
      <c r="G861" s="158"/>
    </row>
    <row r="862">
      <c r="A862" s="158"/>
      <c r="B862" s="158"/>
      <c r="C862" s="158"/>
      <c r="D862" s="158"/>
      <c r="E862" s="158"/>
      <c r="F862" s="158"/>
      <c r="G862" s="158"/>
    </row>
    <row r="863">
      <c r="A863" s="158"/>
      <c r="B863" s="158"/>
      <c r="C863" s="158"/>
      <c r="D863" s="158"/>
      <c r="E863" s="158"/>
      <c r="F863" s="158"/>
      <c r="G863" s="158"/>
    </row>
    <row r="864">
      <c r="A864" s="158"/>
      <c r="B864" s="158"/>
      <c r="C864" s="158"/>
      <c r="D864" s="158"/>
      <c r="E864" s="158"/>
      <c r="F864" s="158"/>
      <c r="G864" s="158"/>
    </row>
    <row r="865">
      <c r="A865" s="158"/>
      <c r="B865" s="158"/>
      <c r="C865" s="158"/>
      <c r="D865" s="158"/>
      <c r="E865" s="158"/>
      <c r="F865" s="158"/>
      <c r="G865" s="158"/>
    </row>
    <row r="866">
      <c r="A866" s="158"/>
      <c r="B866" s="158"/>
      <c r="C866" s="158"/>
      <c r="D866" s="158"/>
      <c r="E866" s="158"/>
      <c r="F866" s="158"/>
      <c r="G866" s="158"/>
    </row>
    <row r="867">
      <c r="A867" s="158"/>
      <c r="B867" s="158"/>
      <c r="C867" s="158"/>
      <c r="D867" s="158"/>
      <c r="E867" s="158"/>
      <c r="F867" s="158"/>
      <c r="G867" s="158"/>
    </row>
    <row r="868">
      <c r="A868" s="158"/>
      <c r="B868" s="158"/>
      <c r="C868" s="158"/>
      <c r="D868" s="158"/>
      <c r="E868" s="158"/>
      <c r="F868" s="158"/>
      <c r="G868" s="158"/>
    </row>
    <row r="869">
      <c r="A869" s="158"/>
      <c r="B869" s="158"/>
      <c r="C869" s="158"/>
      <c r="D869" s="158"/>
      <c r="E869" s="158"/>
      <c r="F869" s="158"/>
      <c r="G869" s="158"/>
    </row>
    <row r="870">
      <c r="A870" s="158"/>
      <c r="B870" s="158"/>
      <c r="C870" s="158"/>
      <c r="D870" s="158"/>
      <c r="E870" s="158"/>
      <c r="F870" s="158"/>
      <c r="G870" s="158"/>
    </row>
    <row r="871">
      <c r="A871" s="158"/>
      <c r="B871" s="158"/>
      <c r="C871" s="158"/>
      <c r="D871" s="158"/>
      <c r="E871" s="158"/>
      <c r="F871" s="158"/>
      <c r="G871" s="158"/>
    </row>
    <row r="872">
      <c r="A872" s="158"/>
      <c r="B872" s="158"/>
      <c r="C872" s="158"/>
      <c r="D872" s="158"/>
      <c r="E872" s="158"/>
      <c r="F872" s="158"/>
      <c r="G872" s="158"/>
    </row>
    <row r="873">
      <c r="A873" s="158"/>
      <c r="B873" s="158"/>
      <c r="C873" s="158"/>
      <c r="D873" s="158"/>
      <c r="E873" s="158"/>
      <c r="F873" s="158"/>
      <c r="G873" s="158"/>
    </row>
    <row r="874">
      <c r="A874" s="158"/>
      <c r="B874" s="158"/>
      <c r="C874" s="158"/>
      <c r="D874" s="158"/>
      <c r="E874" s="158"/>
      <c r="F874" s="158"/>
      <c r="G874" s="158"/>
    </row>
    <row r="875">
      <c r="A875" s="158"/>
      <c r="B875" s="158"/>
      <c r="C875" s="158"/>
      <c r="D875" s="158"/>
      <c r="E875" s="158"/>
      <c r="F875" s="158"/>
      <c r="G875" s="158"/>
    </row>
    <row r="876">
      <c r="A876" s="158"/>
      <c r="B876" s="158"/>
      <c r="C876" s="158"/>
      <c r="D876" s="158"/>
      <c r="E876" s="158"/>
      <c r="F876" s="158"/>
      <c r="G876" s="158"/>
    </row>
    <row r="877">
      <c r="A877" s="158"/>
      <c r="B877" s="158"/>
      <c r="C877" s="158"/>
      <c r="D877" s="158"/>
      <c r="E877" s="158"/>
      <c r="F877" s="158"/>
      <c r="G877" s="158"/>
    </row>
    <row r="878">
      <c r="A878" s="158"/>
      <c r="B878" s="158"/>
      <c r="C878" s="158"/>
      <c r="D878" s="158"/>
      <c r="E878" s="158"/>
      <c r="F878" s="158"/>
      <c r="G878" s="158"/>
    </row>
    <row r="879">
      <c r="A879" s="158"/>
      <c r="B879" s="158"/>
      <c r="C879" s="158"/>
      <c r="D879" s="158"/>
      <c r="E879" s="158"/>
      <c r="F879" s="158"/>
      <c r="G879" s="158"/>
    </row>
    <row r="880">
      <c r="A880" s="158"/>
      <c r="B880" s="158"/>
      <c r="C880" s="158"/>
      <c r="D880" s="158"/>
      <c r="E880" s="158"/>
      <c r="F880" s="158"/>
      <c r="G880" s="158"/>
    </row>
    <row r="881">
      <c r="A881" s="158"/>
      <c r="B881" s="158"/>
      <c r="C881" s="158"/>
      <c r="D881" s="158"/>
      <c r="E881" s="158"/>
      <c r="F881" s="158"/>
      <c r="G881" s="158"/>
    </row>
    <row r="882">
      <c r="A882" s="158"/>
      <c r="B882" s="158"/>
      <c r="C882" s="158"/>
      <c r="D882" s="158"/>
      <c r="E882" s="158"/>
      <c r="F882" s="158"/>
      <c r="G882" s="158"/>
    </row>
    <row r="883">
      <c r="A883" s="158"/>
      <c r="B883" s="158"/>
      <c r="C883" s="158"/>
      <c r="D883" s="158"/>
      <c r="E883" s="158"/>
      <c r="F883" s="158"/>
      <c r="G883" s="158"/>
    </row>
    <row r="884">
      <c r="A884" s="158"/>
      <c r="B884" s="158"/>
      <c r="C884" s="158"/>
      <c r="D884" s="158"/>
      <c r="E884" s="158"/>
      <c r="F884" s="158"/>
      <c r="G884" s="158"/>
    </row>
    <row r="885">
      <c r="A885" s="158"/>
      <c r="B885" s="158"/>
      <c r="C885" s="158"/>
      <c r="D885" s="158"/>
      <c r="E885" s="158"/>
      <c r="F885" s="158"/>
      <c r="G885" s="158"/>
    </row>
    <row r="886">
      <c r="A886" s="158"/>
      <c r="B886" s="158"/>
      <c r="C886" s="158"/>
      <c r="D886" s="158"/>
      <c r="E886" s="158"/>
      <c r="F886" s="158"/>
      <c r="G886" s="158"/>
    </row>
    <row r="887">
      <c r="A887" s="158"/>
      <c r="B887" s="158"/>
      <c r="C887" s="158"/>
      <c r="D887" s="158"/>
      <c r="E887" s="158"/>
      <c r="F887" s="158"/>
      <c r="G887" s="158"/>
    </row>
    <row r="888">
      <c r="A888" s="158"/>
      <c r="B888" s="158"/>
      <c r="C888" s="158"/>
      <c r="D888" s="158"/>
      <c r="E888" s="158"/>
      <c r="F888" s="158"/>
      <c r="G888" s="158"/>
    </row>
    <row r="889">
      <c r="A889" s="158"/>
      <c r="B889" s="158"/>
      <c r="C889" s="158"/>
      <c r="D889" s="158"/>
      <c r="E889" s="158"/>
      <c r="F889" s="158"/>
      <c r="G889" s="158"/>
    </row>
    <row r="890">
      <c r="A890" s="158"/>
      <c r="B890" s="158"/>
      <c r="C890" s="158"/>
      <c r="D890" s="158"/>
      <c r="E890" s="158"/>
      <c r="F890" s="158"/>
      <c r="G890" s="158"/>
    </row>
    <row r="891">
      <c r="A891" s="158"/>
      <c r="B891" s="158"/>
      <c r="C891" s="158"/>
      <c r="D891" s="158"/>
      <c r="E891" s="158"/>
      <c r="F891" s="158"/>
      <c r="G891" s="158"/>
    </row>
    <row r="892">
      <c r="A892" s="158"/>
      <c r="B892" s="158"/>
      <c r="C892" s="158"/>
      <c r="D892" s="158"/>
      <c r="E892" s="158"/>
      <c r="F892" s="158"/>
      <c r="G892" s="158"/>
    </row>
    <row r="893">
      <c r="A893" s="158"/>
      <c r="B893" s="158"/>
      <c r="C893" s="158"/>
      <c r="D893" s="158"/>
      <c r="E893" s="158"/>
      <c r="F893" s="158"/>
      <c r="G893" s="158"/>
    </row>
    <row r="894">
      <c r="A894" s="158"/>
      <c r="B894" s="158"/>
      <c r="C894" s="158"/>
      <c r="D894" s="158"/>
      <c r="E894" s="158"/>
      <c r="F894" s="158"/>
      <c r="G894" s="158"/>
    </row>
    <row r="895">
      <c r="A895" s="158"/>
      <c r="B895" s="158"/>
      <c r="C895" s="158"/>
      <c r="D895" s="158"/>
      <c r="E895" s="158"/>
      <c r="F895" s="158"/>
      <c r="G895" s="158"/>
    </row>
    <row r="896">
      <c r="A896" s="158"/>
      <c r="B896" s="158"/>
      <c r="C896" s="158"/>
      <c r="D896" s="158"/>
      <c r="E896" s="158"/>
      <c r="F896" s="158"/>
      <c r="G896" s="158"/>
    </row>
    <row r="897">
      <c r="A897" s="158"/>
      <c r="B897" s="158"/>
      <c r="C897" s="158"/>
      <c r="D897" s="158"/>
      <c r="E897" s="158"/>
      <c r="F897" s="158"/>
      <c r="G897" s="158"/>
    </row>
    <row r="898">
      <c r="A898" s="158"/>
      <c r="B898" s="158"/>
      <c r="C898" s="158"/>
      <c r="D898" s="158"/>
      <c r="E898" s="158"/>
      <c r="F898" s="158"/>
      <c r="G898" s="158"/>
    </row>
    <row r="899">
      <c r="A899" s="158"/>
      <c r="B899" s="158"/>
      <c r="C899" s="158"/>
      <c r="D899" s="158"/>
      <c r="E899" s="158"/>
      <c r="F899" s="158"/>
      <c r="G899" s="158"/>
    </row>
    <row r="900">
      <c r="A900" s="158"/>
      <c r="B900" s="158"/>
      <c r="C900" s="158"/>
      <c r="D900" s="158"/>
      <c r="E900" s="158"/>
      <c r="F900" s="158"/>
      <c r="G900" s="158"/>
    </row>
    <row r="901">
      <c r="A901" s="158"/>
      <c r="B901" s="158"/>
      <c r="C901" s="158"/>
      <c r="D901" s="158"/>
      <c r="E901" s="158"/>
      <c r="F901" s="158"/>
      <c r="G901" s="158"/>
    </row>
    <row r="902">
      <c r="A902" s="158"/>
      <c r="B902" s="158"/>
      <c r="C902" s="158"/>
      <c r="D902" s="158"/>
      <c r="E902" s="158"/>
      <c r="F902" s="158"/>
      <c r="G902" s="158"/>
    </row>
    <row r="903">
      <c r="A903" s="158"/>
      <c r="B903" s="158"/>
      <c r="C903" s="158"/>
      <c r="D903" s="158"/>
      <c r="E903" s="158"/>
      <c r="F903" s="158"/>
      <c r="G903" s="158"/>
    </row>
    <row r="904">
      <c r="A904" s="158"/>
      <c r="B904" s="158"/>
      <c r="C904" s="158"/>
      <c r="D904" s="158"/>
      <c r="E904" s="158"/>
      <c r="F904" s="158"/>
      <c r="G904" s="158"/>
    </row>
    <row r="905">
      <c r="A905" s="158"/>
      <c r="B905" s="158"/>
      <c r="C905" s="158"/>
      <c r="D905" s="158"/>
      <c r="E905" s="158"/>
      <c r="F905" s="158"/>
      <c r="G905" s="158"/>
    </row>
    <row r="906">
      <c r="A906" s="158"/>
      <c r="B906" s="158"/>
      <c r="C906" s="158"/>
      <c r="D906" s="158"/>
      <c r="E906" s="158"/>
      <c r="F906" s="158"/>
      <c r="G906" s="158"/>
    </row>
    <row r="907">
      <c r="A907" s="158"/>
      <c r="B907" s="158"/>
      <c r="C907" s="158"/>
      <c r="D907" s="158"/>
      <c r="E907" s="158"/>
      <c r="F907" s="158"/>
      <c r="G907" s="158"/>
    </row>
    <row r="908">
      <c r="A908" s="158"/>
      <c r="B908" s="158"/>
      <c r="C908" s="158"/>
      <c r="D908" s="158"/>
      <c r="E908" s="158"/>
      <c r="F908" s="158"/>
      <c r="G908" s="158"/>
    </row>
    <row r="909">
      <c r="A909" s="158"/>
      <c r="B909" s="158"/>
      <c r="C909" s="158"/>
      <c r="D909" s="158"/>
      <c r="E909" s="158"/>
      <c r="F909" s="158"/>
      <c r="G909" s="158"/>
    </row>
    <row r="910">
      <c r="A910" s="158"/>
      <c r="B910" s="158"/>
      <c r="C910" s="158"/>
      <c r="D910" s="158"/>
      <c r="E910" s="158"/>
      <c r="F910" s="158"/>
      <c r="G910" s="158"/>
    </row>
    <row r="911">
      <c r="A911" s="158"/>
      <c r="B911" s="158"/>
      <c r="C911" s="158"/>
      <c r="D911" s="158"/>
      <c r="E911" s="158"/>
      <c r="F911" s="158"/>
      <c r="G911" s="158"/>
    </row>
    <row r="912">
      <c r="A912" s="158"/>
      <c r="B912" s="158"/>
      <c r="C912" s="158"/>
      <c r="D912" s="158"/>
      <c r="E912" s="158"/>
      <c r="F912" s="158"/>
      <c r="G912" s="158"/>
    </row>
    <row r="913">
      <c r="A913" s="158"/>
      <c r="B913" s="158"/>
      <c r="C913" s="158"/>
      <c r="D913" s="158"/>
      <c r="E913" s="158"/>
      <c r="F913" s="158"/>
      <c r="G913" s="158"/>
    </row>
    <row r="914">
      <c r="A914" s="158"/>
      <c r="B914" s="158"/>
      <c r="C914" s="158"/>
      <c r="D914" s="158"/>
      <c r="E914" s="158"/>
      <c r="F914" s="158"/>
      <c r="G914" s="158"/>
    </row>
    <row r="915">
      <c r="A915" s="158"/>
      <c r="B915" s="158"/>
      <c r="C915" s="158"/>
      <c r="D915" s="158"/>
      <c r="E915" s="158"/>
      <c r="F915" s="158"/>
      <c r="G915" s="158"/>
    </row>
    <row r="916">
      <c r="A916" s="158"/>
      <c r="B916" s="158"/>
      <c r="C916" s="158"/>
      <c r="D916" s="158"/>
      <c r="E916" s="158"/>
      <c r="F916" s="158"/>
      <c r="G916" s="158"/>
    </row>
    <row r="917">
      <c r="A917" s="158"/>
      <c r="B917" s="158"/>
      <c r="C917" s="158"/>
      <c r="D917" s="158"/>
      <c r="E917" s="158"/>
      <c r="F917" s="158"/>
      <c r="G917" s="158"/>
    </row>
    <row r="918">
      <c r="A918" s="158"/>
      <c r="B918" s="158"/>
      <c r="C918" s="158"/>
      <c r="D918" s="158"/>
      <c r="E918" s="158"/>
      <c r="F918" s="158"/>
      <c r="G918" s="158"/>
    </row>
    <row r="919">
      <c r="A919" s="158"/>
      <c r="B919" s="158"/>
      <c r="C919" s="158"/>
      <c r="D919" s="158"/>
      <c r="E919" s="158"/>
      <c r="F919" s="158"/>
      <c r="G919" s="158"/>
    </row>
    <row r="920">
      <c r="A920" s="158"/>
      <c r="B920" s="158"/>
      <c r="C920" s="158"/>
      <c r="D920" s="158"/>
      <c r="E920" s="158"/>
      <c r="F920" s="158"/>
      <c r="G920" s="158"/>
    </row>
    <row r="921">
      <c r="A921" s="158"/>
      <c r="B921" s="158"/>
      <c r="C921" s="158"/>
      <c r="D921" s="158"/>
      <c r="E921" s="158"/>
      <c r="F921" s="158"/>
      <c r="G921" s="158"/>
    </row>
    <row r="922">
      <c r="A922" s="158"/>
      <c r="B922" s="158"/>
      <c r="C922" s="158"/>
      <c r="D922" s="158"/>
      <c r="E922" s="158"/>
      <c r="F922" s="158"/>
      <c r="G922" s="158"/>
    </row>
    <row r="923">
      <c r="A923" s="158"/>
      <c r="B923" s="158"/>
      <c r="C923" s="158"/>
      <c r="D923" s="158"/>
      <c r="E923" s="158"/>
      <c r="F923" s="158"/>
      <c r="G923" s="158"/>
    </row>
    <row r="924">
      <c r="A924" s="158"/>
      <c r="B924" s="158"/>
      <c r="C924" s="158"/>
      <c r="D924" s="158"/>
      <c r="E924" s="158"/>
      <c r="F924" s="158"/>
      <c r="G924" s="158"/>
    </row>
    <row r="925">
      <c r="A925" s="158"/>
      <c r="B925" s="158"/>
      <c r="C925" s="158"/>
      <c r="D925" s="158"/>
      <c r="E925" s="158"/>
      <c r="F925" s="158"/>
      <c r="G925" s="158"/>
    </row>
    <row r="926">
      <c r="A926" s="158"/>
      <c r="B926" s="158"/>
      <c r="C926" s="158"/>
      <c r="D926" s="158"/>
      <c r="E926" s="158"/>
      <c r="F926" s="158"/>
      <c r="G926" s="158"/>
    </row>
    <row r="927">
      <c r="A927" s="158"/>
      <c r="B927" s="158"/>
      <c r="C927" s="158"/>
      <c r="D927" s="158"/>
      <c r="E927" s="158"/>
      <c r="F927" s="158"/>
      <c r="G927" s="158"/>
    </row>
    <row r="928">
      <c r="A928" s="158"/>
      <c r="B928" s="158"/>
      <c r="C928" s="158"/>
      <c r="D928" s="158"/>
      <c r="E928" s="158"/>
      <c r="F928" s="158"/>
      <c r="G928" s="158"/>
    </row>
    <row r="929">
      <c r="A929" s="158"/>
      <c r="B929" s="158"/>
      <c r="C929" s="158"/>
      <c r="D929" s="158"/>
      <c r="E929" s="158"/>
      <c r="F929" s="158"/>
      <c r="G929" s="158"/>
    </row>
    <row r="930">
      <c r="A930" s="158"/>
      <c r="B930" s="158"/>
      <c r="C930" s="158"/>
      <c r="D930" s="158"/>
      <c r="E930" s="158"/>
      <c r="F930" s="158"/>
      <c r="G930" s="158"/>
    </row>
    <row r="931">
      <c r="A931" s="158"/>
      <c r="B931" s="158"/>
      <c r="C931" s="158"/>
      <c r="D931" s="158"/>
      <c r="E931" s="158"/>
      <c r="F931" s="158"/>
      <c r="G931" s="158"/>
    </row>
    <row r="932">
      <c r="A932" s="158"/>
      <c r="B932" s="158"/>
      <c r="C932" s="158"/>
      <c r="D932" s="158"/>
      <c r="E932" s="158"/>
      <c r="F932" s="158"/>
      <c r="G932" s="158"/>
    </row>
    <row r="933">
      <c r="A933" s="158"/>
      <c r="B933" s="158"/>
      <c r="C933" s="158"/>
      <c r="D933" s="158"/>
      <c r="E933" s="158"/>
      <c r="F933" s="158"/>
      <c r="G933" s="158"/>
    </row>
    <row r="934">
      <c r="A934" s="158"/>
      <c r="B934" s="158"/>
      <c r="C934" s="158"/>
      <c r="D934" s="158"/>
      <c r="E934" s="158"/>
      <c r="F934" s="158"/>
      <c r="G934" s="158"/>
    </row>
    <row r="935">
      <c r="A935" s="158"/>
      <c r="B935" s="158"/>
      <c r="C935" s="158"/>
      <c r="D935" s="158"/>
      <c r="E935" s="158"/>
      <c r="F935" s="158"/>
      <c r="G935" s="158"/>
    </row>
    <row r="936">
      <c r="A936" s="158"/>
      <c r="B936" s="158"/>
      <c r="C936" s="158"/>
      <c r="D936" s="158"/>
      <c r="E936" s="158"/>
      <c r="F936" s="158"/>
      <c r="G936" s="158"/>
    </row>
    <row r="937">
      <c r="A937" s="158"/>
      <c r="B937" s="158"/>
      <c r="C937" s="158"/>
      <c r="D937" s="158"/>
      <c r="E937" s="158"/>
      <c r="F937" s="158"/>
      <c r="G937" s="158"/>
    </row>
    <row r="938">
      <c r="A938" s="158"/>
      <c r="B938" s="158"/>
      <c r="C938" s="158"/>
      <c r="D938" s="158"/>
      <c r="E938" s="158"/>
      <c r="F938" s="158"/>
      <c r="G938" s="158"/>
    </row>
    <row r="939">
      <c r="A939" s="158"/>
      <c r="B939" s="158"/>
      <c r="C939" s="158"/>
      <c r="D939" s="158"/>
      <c r="E939" s="158"/>
      <c r="F939" s="158"/>
      <c r="G939" s="158"/>
    </row>
    <row r="940">
      <c r="A940" s="158"/>
      <c r="B940" s="158"/>
      <c r="C940" s="158"/>
      <c r="D940" s="158"/>
      <c r="E940" s="158"/>
      <c r="F940" s="158"/>
      <c r="G940" s="158"/>
    </row>
    <row r="941">
      <c r="A941" s="158"/>
      <c r="B941" s="158"/>
      <c r="C941" s="158"/>
      <c r="D941" s="158"/>
      <c r="E941" s="158"/>
      <c r="F941" s="158"/>
      <c r="G941" s="158"/>
    </row>
    <row r="942">
      <c r="A942" s="158"/>
      <c r="B942" s="158"/>
      <c r="C942" s="158"/>
      <c r="D942" s="158"/>
      <c r="E942" s="158"/>
      <c r="F942" s="158"/>
      <c r="G942" s="158"/>
    </row>
    <row r="943">
      <c r="A943" s="158"/>
      <c r="B943" s="158"/>
      <c r="C943" s="158"/>
      <c r="D943" s="158"/>
      <c r="E943" s="158"/>
      <c r="F943" s="158"/>
      <c r="G943" s="158"/>
    </row>
    <row r="944">
      <c r="A944" s="158"/>
      <c r="B944" s="158"/>
      <c r="C944" s="158"/>
      <c r="D944" s="158"/>
      <c r="E944" s="158"/>
      <c r="F944" s="158"/>
      <c r="G944" s="158"/>
    </row>
    <row r="945">
      <c r="A945" s="158"/>
      <c r="B945" s="158"/>
      <c r="C945" s="158"/>
      <c r="D945" s="158"/>
      <c r="E945" s="158"/>
      <c r="F945" s="158"/>
      <c r="G945" s="158"/>
    </row>
    <row r="946">
      <c r="A946" s="158"/>
      <c r="B946" s="158"/>
      <c r="C946" s="158"/>
      <c r="D946" s="158"/>
      <c r="E946" s="158"/>
      <c r="F946" s="158"/>
      <c r="G946" s="158"/>
    </row>
    <row r="947">
      <c r="A947" s="158"/>
      <c r="B947" s="158"/>
      <c r="C947" s="158"/>
      <c r="D947" s="158"/>
      <c r="E947" s="158"/>
      <c r="F947" s="158"/>
      <c r="G947" s="158"/>
    </row>
    <row r="948">
      <c r="A948" s="158"/>
      <c r="B948" s="158"/>
      <c r="C948" s="158"/>
      <c r="D948" s="158"/>
      <c r="E948" s="158"/>
      <c r="F948" s="158"/>
      <c r="G948" s="158"/>
    </row>
    <row r="949">
      <c r="A949" s="158"/>
      <c r="B949" s="158"/>
      <c r="C949" s="158"/>
      <c r="D949" s="158"/>
      <c r="E949" s="158"/>
      <c r="F949" s="158"/>
      <c r="G949" s="158"/>
    </row>
    <row r="950">
      <c r="A950" s="158"/>
      <c r="B950" s="158"/>
      <c r="C950" s="158"/>
      <c r="D950" s="158"/>
      <c r="E950" s="158"/>
      <c r="F950" s="158"/>
      <c r="G950" s="158"/>
    </row>
    <row r="951">
      <c r="A951" s="158"/>
      <c r="B951" s="158"/>
      <c r="C951" s="158"/>
      <c r="D951" s="158"/>
      <c r="E951" s="158"/>
      <c r="F951" s="158"/>
      <c r="G951" s="158"/>
    </row>
    <row r="952">
      <c r="A952" s="158"/>
      <c r="B952" s="158"/>
      <c r="C952" s="158"/>
      <c r="D952" s="158"/>
      <c r="E952" s="158"/>
      <c r="F952" s="158"/>
      <c r="G952" s="158"/>
    </row>
    <row r="953">
      <c r="A953" s="158"/>
      <c r="B953" s="158"/>
      <c r="C953" s="158"/>
      <c r="D953" s="158"/>
      <c r="E953" s="158"/>
      <c r="F953" s="158"/>
      <c r="G953" s="158"/>
    </row>
    <row r="954">
      <c r="A954" s="158"/>
      <c r="B954" s="158"/>
      <c r="C954" s="158"/>
      <c r="D954" s="158"/>
      <c r="E954" s="158"/>
      <c r="F954" s="158"/>
      <c r="G954" s="158"/>
    </row>
    <row r="955">
      <c r="A955" s="158"/>
      <c r="B955" s="158"/>
      <c r="C955" s="158"/>
      <c r="D955" s="158"/>
      <c r="E955" s="158"/>
      <c r="F955" s="158"/>
      <c r="G955" s="158"/>
    </row>
    <row r="956">
      <c r="A956" s="158"/>
      <c r="B956" s="158"/>
      <c r="C956" s="158"/>
      <c r="D956" s="158"/>
      <c r="E956" s="158"/>
      <c r="F956" s="158"/>
      <c r="G956" s="158"/>
    </row>
    <row r="957">
      <c r="A957" s="158"/>
      <c r="B957" s="158"/>
      <c r="C957" s="158"/>
      <c r="D957" s="158"/>
      <c r="E957" s="158"/>
      <c r="F957" s="158"/>
      <c r="G957" s="158"/>
    </row>
    <row r="958">
      <c r="A958" s="158"/>
      <c r="B958" s="158"/>
      <c r="C958" s="158"/>
      <c r="D958" s="158"/>
      <c r="E958" s="158"/>
      <c r="F958" s="158"/>
      <c r="G958" s="158"/>
    </row>
    <row r="959">
      <c r="A959" s="158"/>
      <c r="B959" s="158"/>
      <c r="C959" s="158"/>
      <c r="D959" s="158"/>
      <c r="E959" s="158"/>
      <c r="F959" s="158"/>
      <c r="G959" s="158"/>
    </row>
    <row r="960">
      <c r="A960" s="158"/>
      <c r="B960" s="158"/>
      <c r="C960" s="158"/>
      <c r="D960" s="158"/>
      <c r="E960" s="158"/>
      <c r="F960" s="158"/>
      <c r="G960" s="158"/>
    </row>
    <row r="961">
      <c r="A961" s="158"/>
      <c r="B961" s="158"/>
      <c r="C961" s="158"/>
      <c r="D961" s="158"/>
      <c r="E961" s="158"/>
      <c r="F961" s="158"/>
      <c r="G961" s="158"/>
    </row>
    <row r="962">
      <c r="A962" s="158"/>
      <c r="B962" s="158"/>
      <c r="C962" s="158"/>
      <c r="D962" s="158"/>
      <c r="E962" s="158"/>
      <c r="F962" s="158"/>
      <c r="G962" s="158"/>
    </row>
    <row r="963">
      <c r="A963" s="158"/>
      <c r="B963" s="158"/>
      <c r="C963" s="158"/>
      <c r="D963" s="158"/>
      <c r="E963" s="158"/>
      <c r="F963" s="158"/>
      <c r="G963" s="158"/>
    </row>
    <row r="964">
      <c r="A964" s="158"/>
      <c r="B964" s="158"/>
      <c r="C964" s="158"/>
      <c r="D964" s="158"/>
      <c r="E964" s="158"/>
      <c r="F964" s="158"/>
      <c r="G964" s="158"/>
    </row>
    <row r="965">
      <c r="A965" s="158"/>
      <c r="B965" s="158"/>
      <c r="C965" s="158"/>
      <c r="D965" s="158"/>
      <c r="E965" s="158"/>
      <c r="F965" s="158"/>
      <c r="G965" s="158"/>
    </row>
    <row r="966">
      <c r="A966" s="158"/>
      <c r="B966" s="158"/>
      <c r="C966" s="158"/>
      <c r="D966" s="158"/>
      <c r="E966" s="158"/>
      <c r="F966" s="158"/>
      <c r="G966" s="158"/>
    </row>
    <row r="967">
      <c r="A967" s="158"/>
      <c r="B967" s="158"/>
      <c r="C967" s="158"/>
      <c r="D967" s="158"/>
      <c r="E967" s="158"/>
      <c r="F967" s="158"/>
      <c r="G967" s="158"/>
    </row>
    <row r="968">
      <c r="A968" s="158"/>
      <c r="B968" s="158"/>
      <c r="C968" s="158"/>
      <c r="D968" s="158"/>
      <c r="E968" s="158"/>
      <c r="F968" s="158"/>
      <c r="G968" s="158"/>
    </row>
    <row r="969">
      <c r="A969" s="158"/>
      <c r="B969" s="158"/>
      <c r="C969" s="158"/>
      <c r="D969" s="158"/>
      <c r="E969" s="158"/>
      <c r="F969" s="158"/>
      <c r="G969" s="158"/>
    </row>
    <row r="970">
      <c r="A970" s="158"/>
      <c r="B970" s="158"/>
      <c r="C970" s="158"/>
      <c r="D970" s="158"/>
      <c r="E970" s="158"/>
      <c r="F970" s="158"/>
      <c r="G970" s="158"/>
    </row>
    <row r="971">
      <c r="A971" s="158"/>
      <c r="B971" s="158"/>
      <c r="C971" s="158"/>
      <c r="D971" s="158"/>
      <c r="E971" s="158"/>
      <c r="F971" s="158"/>
      <c r="G971" s="158"/>
    </row>
    <row r="972">
      <c r="A972" s="158"/>
      <c r="B972" s="158"/>
      <c r="C972" s="158"/>
      <c r="D972" s="158"/>
      <c r="E972" s="158"/>
      <c r="F972" s="158"/>
      <c r="G972" s="158"/>
    </row>
    <row r="973">
      <c r="A973" s="158"/>
      <c r="B973" s="158"/>
      <c r="C973" s="158"/>
      <c r="D973" s="158"/>
      <c r="E973" s="158"/>
      <c r="F973" s="158"/>
      <c r="G973" s="158"/>
    </row>
    <row r="974">
      <c r="A974" s="158"/>
      <c r="B974" s="158"/>
      <c r="C974" s="158"/>
      <c r="D974" s="158"/>
      <c r="E974" s="158"/>
      <c r="F974" s="158"/>
      <c r="G974" s="158"/>
    </row>
    <row r="975">
      <c r="A975" s="158"/>
      <c r="B975" s="158"/>
      <c r="C975" s="158"/>
      <c r="D975" s="158"/>
      <c r="E975" s="158"/>
      <c r="F975" s="158"/>
      <c r="G975" s="158"/>
    </row>
    <row r="976">
      <c r="A976" s="158"/>
      <c r="B976" s="158"/>
      <c r="C976" s="158"/>
      <c r="D976" s="158"/>
      <c r="E976" s="158"/>
      <c r="F976" s="158"/>
      <c r="G976" s="158"/>
    </row>
    <row r="977">
      <c r="A977" s="158"/>
      <c r="B977" s="158"/>
      <c r="C977" s="158"/>
      <c r="D977" s="158"/>
      <c r="E977" s="158"/>
      <c r="F977" s="158"/>
      <c r="G977" s="158"/>
    </row>
    <row r="978">
      <c r="A978" s="158"/>
      <c r="B978" s="158"/>
      <c r="C978" s="158"/>
      <c r="D978" s="158"/>
      <c r="E978" s="158"/>
      <c r="F978" s="158"/>
      <c r="G978" s="158"/>
    </row>
    <row r="979">
      <c r="A979" s="158"/>
      <c r="B979" s="158"/>
      <c r="C979" s="158"/>
      <c r="D979" s="158"/>
      <c r="E979" s="158"/>
      <c r="F979" s="158"/>
      <c r="G979" s="158"/>
    </row>
    <row r="980">
      <c r="A980" s="158"/>
      <c r="B980" s="158"/>
      <c r="C980" s="158"/>
      <c r="D980" s="158"/>
      <c r="E980" s="158"/>
      <c r="F980" s="158"/>
      <c r="G980" s="158"/>
    </row>
    <row r="981">
      <c r="A981" s="158"/>
      <c r="B981" s="158"/>
      <c r="C981" s="158"/>
      <c r="D981" s="158"/>
      <c r="E981" s="158"/>
      <c r="F981" s="158"/>
      <c r="G981" s="158"/>
    </row>
    <row r="982">
      <c r="A982" s="158"/>
      <c r="B982" s="158"/>
      <c r="C982" s="158"/>
      <c r="D982" s="158"/>
      <c r="E982" s="158"/>
      <c r="F982" s="158"/>
      <c r="G982" s="158"/>
    </row>
    <row r="983">
      <c r="A983" s="158"/>
      <c r="B983" s="158"/>
      <c r="C983" s="158"/>
      <c r="D983" s="158"/>
      <c r="E983" s="158"/>
      <c r="F983" s="158"/>
      <c r="G983" s="158"/>
    </row>
    <row r="984">
      <c r="A984" s="158"/>
      <c r="B984" s="158"/>
      <c r="C984" s="158"/>
      <c r="D984" s="158"/>
      <c r="E984" s="158"/>
      <c r="F984" s="158"/>
      <c r="G984" s="158"/>
    </row>
    <row r="985">
      <c r="A985" s="158"/>
      <c r="B985" s="158"/>
      <c r="C985" s="158"/>
      <c r="D985" s="158"/>
      <c r="E985" s="158"/>
      <c r="F985" s="158"/>
      <c r="G985" s="158"/>
    </row>
    <row r="986">
      <c r="A986" s="158"/>
      <c r="B986" s="158"/>
      <c r="C986" s="158"/>
      <c r="D986" s="158"/>
      <c r="E986" s="158"/>
      <c r="F986" s="158"/>
      <c r="G986" s="158"/>
    </row>
    <row r="987">
      <c r="A987" s="158"/>
      <c r="B987" s="158"/>
      <c r="C987" s="158"/>
      <c r="D987" s="158"/>
      <c r="E987" s="158"/>
      <c r="F987" s="158"/>
      <c r="G987" s="158"/>
    </row>
    <row r="988">
      <c r="A988" s="158"/>
      <c r="B988" s="158"/>
      <c r="C988" s="158"/>
      <c r="D988" s="158"/>
      <c r="E988" s="158"/>
      <c r="F988" s="158"/>
      <c r="G988" s="158"/>
    </row>
    <row r="989">
      <c r="A989" s="158"/>
      <c r="B989" s="158"/>
      <c r="C989" s="158"/>
      <c r="D989" s="158"/>
      <c r="E989" s="158"/>
      <c r="F989" s="158"/>
      <c r="G989" s="158"/>
    </row>
    <row r="990">
      <c r="A990" s="158"/>
      <c r="B990" s="158"/>
      <c r="C990" s="158"/>
      <c r="D990" s="158"/>
      <c r="E990" s="158"/>
      <c r="F990" s="158"/>
      <c r="G990" s="158"/>
    </row>
    <row r="991">
      <c r="A991" s="158"/>
      <c r="B991" s="158"/>
      <c r="C991" s="158"/>
      <c r="D991" s="158"/>
      <c r="E991" s="158"/>
      <c r="F991" s="158"/>
      <c r="G991" s="158"/>
    </row>
    <row r="992">
      <c r="A992" s="158"/>
      <c r="B992" s="158"/>
      <c r="C992" s="158"/>
      <c r="D992" s="158"/>
      <c r="E992" s="158"/>
      <c r="F992" s="158"/>
      <c r="G992" s="158"/>
    </row>
    <row r="993">
      <c r="A993" s="158"/>
      <c r="B993" s="158"/>
      <c r="C993" s="158"/>
      <c r="D993" s="158"/>
      <c r="E993" s="158"/>
      <c r="F993" s="158"/>
      <c r="G993" s="158"/>
    </row>
    <row r="994">
      <c r="A994" s="158"/>
      <c r="B994" s="158"/>
      <c r="C994" s="158"/>
      <c r="D994" s="158"/>
      <c r="E994" s="158"/>
      <c r="F994" s="158"/>
      <c r="G994" s="158"/>
    </row>
    <row r="995">
      <c r="A995" s="158"/>
      <c r="B995" s="158"/>
      <c r="C995" s="158"/>
      <c r="D995" s="158"/>
      <c r="E995" s="158"/>
      <c r="F995" s="158"/>
      <c r="G995" s="158"/>
    </row>
    <row r="996">
      <c r="A996" s="158"/>
      <c r="B996" s="158"/>
      <c r="C996" s="158"/>
      <c r="D996" s="158"/>
      <c r="E996" s="158"/>
      <c r="F996" s="158"/>
      <c r="G996" s="158"/>
    </row>
    <row r="997">
      <c r="A997" s="158"/>
      <c r="B997" s="158"/>
      <c r="C997" s="158"/>
      <c r="D997" s="158"/>
      <c r="E997" s="158"/>
      <c r="F997" s="158"/>
      <c r="G997" s="158"/>
    </row>
    <row r="998">
      <c r="A998" s="158"/>
      <c r="B998" s="158"/>
      <c r="C998" s="158"/>
      <c r="D998" s="158"/>
      <c r="E998" s="158"/>
      <c r="F998" s="158"/>
      <c r="G998" s="158"/>
    </row>
    <row r="999">
      <c r="A999" s="158"/>
      <c r="B999" s="158"/>
      <c r="C999" s="158"/>
      <c r="D999" s="158"/>
      <c r="E999" s="158"/>
      <c r="F999" s="158"/>
      <c r="G999" s="158"/>
    </row>
    <row r="1000">
      <c r="A1000" s="158"/>
      <c r="B1000" s="158"/>
      <c r="C1000" s="158"/>
      <c r="D1000" s="158"/>
      <c r="E1000" s="158"/>
      <c r="F1000" s="158"/>
      <c r="G1000" s="158"/>
    </row>
    <row r="1001">
      <c r="A1001" s="158"/>
      <c r="B1001" s="158"/>
      <c r="C1001" s="158"/>
      <c r="D1001" s="158"/>
      <c r="E1001" s="158"/>
      <c r="F1001" s="158"/>
      <c r="G1001" s="158"/>
    </row>
  </sheetData>
  <mergeCells count="81">
    <mergeCell ref="A101:A102"/>
    <mergeCell ref="A103:A105"/>
    <mergeCell ref="A107:A108"/>
    <mergeCell ref="A110:A111"/>
    <mergeCell ref="A112:A115"/>
    <mergeCell ref="A117:A119"/>
    <mergeCell ref="A121:A123"/>
    <mergeCell ref="A124:A126"/>
    <mergeCell ref="A127:A128"/>
    <mergeCell ref="A129:A132"/>
    <mergeCell ref="A133:A139"/>
    <mergeCell ref="B133:B139"/>
    <mergeCell ref="A141:A143"/>
    <mergeCell ref="B141:B143"/>
    <mergeCell ref="A153:A156"/>
    <mergeCell ref="A157:A160"/>
    <mergeCell ref="A161:A163"/>
    <mergeCell ref="A164:A165"/>
    <mergeCell ref="A167:A168"/>
    <mergeCell ref="B157:B160"/>
    <mergeCell ref="B161:B163"/>
    <mergeCell ref="B164:B165"/>
    <mergeCell ref="B167:B168"/>
    <mergeCell ref="A144:A146"/>
    <mergeCell ref="B144:B146"/>
    <mergeCell ref="A147:A149"/>
    <mergeCell ref="B147:B149"/>
    <mergeCell ref="A150:A152"/>
    <mergeCell ref="B150:B152"/>
    <mergeCell ref="B153:B156"/>
    <mergeCell ref="A1:G1"/>
    <mergeCell ref="A8:A9"/>
    <mergeCell ref="B8:B9"/>
    <mergeCell ref="A11:A13"/>
    <mergeCell ref="B11:B13"/>
    <mergeCell ref="A15:A20"/>
    <mergeCell ref="B15:B20"/>
    <mergeCell ref="A21:A22"/>
    <mergeCell ref="B21:B22"/>
    <mergeCell ref="A23:A25"/>
    <mergeCell ref="B23:B25"/>
    <mergeCell ref="A26:A27"/>
    <mergeCell ref="B26:B27"/>
    <mergeCell ref="B28:B29"/>
    <mergeCell ref="A28:A29"/>
    <mergeCell ref="A30:A31"/>
    <mergeCell ref="A32:A35"/>
    <mergeCell ref="A36:A40"/>
    <mergeCell ref="A41:A49"/>
    <mergeCell ref="A50:A54"/>
    <mergeCell ref="A55:A59"/>
    <mergeCell ref="B30:B31"/>
    <mergeCell ref="B32:B35"/>
    <mergeCell ref="B36:B40"/>
    <mergeCell ref="B41:B49"/>
    <mergeCell ref="B50:B54"/>
    <mergeCell ref="B55:B59"/>
    <mergeCell ref="B60:B62"/>
    <mergeCell ref="A60:A62"/>
    <mergeCell ref="A63:A65"/>
    <mergeCell ref="A66:A72"/>
    <mergeCell ref="A73:A79"/>
    <mergeCell ref="A80:A86"/>
    <mergeCell ref="A87:A93"/>
    <mergeCell ref="A94:A100"/>
    <mergeCell ref="B63:B65"/>
    <mergeCell ref="B66:B72"/>
    <mergeCell ref="B73:B79"/>
    <mergeCell ref="B80:B86"/>
    <mergeCell ref="B87:B93"/>
    <mergeCell ref="B94:B100"/>
    <mergeCell ref="B101:B102"/>
    <mergeCell ref="B127:B128"/>
    <mergeCell ref="B129:B132"/>
    <mergeCell ref="B103:B105"/>
    <mergeCell ref="B107:B108"/>
    <mergeCell ref="B110:B111"/>
    <mergeCell ref="B112:B115"/>
    <mergeCell ref="B117:B119"/>
    <mergeCell ref="B121:B123"/>
    <mergeCell ref="B124:B1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13"/>
    <col customWidth="1" min="2" max="2" width="31.63"/>
    <col customWidth="1" min="3" max="3" width="37.63"/>
    <col customWidth="1" min="4" max="4" width="40.5"/>
    <col customWidth="1" min="5" max="5" width="17.13"/>
    <col customWidth="1" min="6" max="6" width="18.38"/>
  </cols>
  <sheetData>
    <row r="1">
      <c r="A1" s="161" t="s">
        <v>394</v>
      </c>
      <c r="B1" s="3"/>
      <c r="C1" s="3"/>
      <c r="D1" s="3"/>
      <c r="E1" s="3"/>
      <c r="F1" s="4"/>
      <c r="G1" s="104"/>
      <c r="H1" s="104"/>
      <c r="I1" s="104"/>
      <c r="J1" s="104"/>
      <c r="K1" s="104"/>
      <c r="L1" s="104"/>
      <c r="M1" s="104"/>
      <c r="N1" s="104"/>
      <c r="O1" s="104"/>
      <c r="P1" s="162"/>
      <c r="Q1" s="162"/>
      <c r="R1" s="162"/>
      <c r="S1" s="162"/>
      <c r="T1" s="162"/>
      <c r="U1" s="162"/>
      <c r="V1" s="162"/>
      <c r="W1" s="162"/>
    </row>
    <row r="2">
      <c r="A2" s="163" t="s">
        <v>178</v>
      </c>
      <c r="B2" s="164" t="s">
        <v>395</v>
      </c>
      <c r="C2" s="164" t="s">
        <v>396</v>
      </c>
      <c r="D2" s="164" t="s">
        <v>181</v>
      </c>
      <c r="E2" s="164" t="s">
        <v>397</v>
      </c>
      <c r="F2" s="164" t="s">
        <v>40</v>
      </c>
      <c r="G2" s="104"/>
      <c r="H2" s="104"/>
      <c r="I2" s="104"/>
      <c r="J2" s="104"/>
      <c r="K2" s="104"/>
      <c r="L2" s="104"/>
      <c r="M2" s="104"/>
      <c r="N2" s="104"/>
      <c r="O2" s="104"/>
      <c r="P2" s="162"/>
      <c r="Q2" s="162"/>
      <c r="R2" s="162"/>
      <c r="S2" s="162"/>
      <c r="T2" s="162"/>
      <c r="U2" s="162"/>
      <c r="V2" s="162"/>
      <c r="W2" s="162"/>
    </row>
    <row r="3">
      <c r="A3" s="127">
        <v>1.0</v>
      </c>
      <c r="B3" s="128">
        <v>45967.0</v>
      </c>
      <c r="C3" s="127" t="s">
        <v>398</v>
      </c>
      <c r="D3" s="127" t="s">
        <v>399</v>
      </c>
      <c r="E3" s="127">
        <v>4.0</v>
      </c>
      <c r="F3" s="119"/>
      <c r="G3" s="104"/>
      <c r="H3" s="104"/>
      <c r="I3" s="104"/>
      <c r="J3" s="104"/>
      <c r="K3" s="104"/>
      <c r="L3" s="104"/>
      <c r="M3" s="104"/>
      <c r="N3" s="104"/>
      <c r="O3" s="104"/>
      <c r="P3" s="162"/>
      <c r="Q3" s="162"/>
      <c r="R3" s="162"/>
      <c r="S3" s="162"/>
      <c r="T3" s="162"/>
      <c r="U3" s="162"/>
      <c r="V3" s="162"/>
      <c r="W3" s="162"/>
    </row>
    <row r="4">
      <c r="A4" s="127">
        <v>2.0</v>
      </c>
      <c r="B4" s="128">
        <v>45990.0</v>
      </c>
      <c r="C4" s="127" t="s">
        <v>191</v>
      </c>
      <c r="D4" s="127" t="s">
        <v>400</v>
      </c>
      <c r="E4" s="127">
        <v>1.0</v>
      </c>
      <c r="F4" s="119"/>
      <c r="G4" s="104"/>
      <c r="H4" s="104"/>
      <c r="I4" s="104"/>
      <c r="J4" s="104"/>
      <c r="K4" s="104"/>
      <c r="L4" s="104"/>
      <c r="M4" s="104"/>
      <c r="N4" s="104"/>
      <c r="O4" s="104"/>
      <c r="P4" s="162"/>
      <c r="Q4" s="162"/>
      <c r="R4" s="162"/>
      <c r="S4" s="162"/>
      <c r="T4" s="162"/>
      <c r="U4" s="162"/>
      <c r="V4" s="162"/>
      <c r="W4" s="162"/>
    </row>
    <row r="5">
      <c r="A5" s="127">
        <v>3.0</v>
      </c>
      <c r="B5" s="132">
        <v>45992.0</v>
      </c>
      <c r="C5" s="127" t="s">
        <v>401</v>
      </c>
      <c r="D5" s="127" t="s">
        <v>195</v>
      </c>
      <c r="E5" s="127">
        <v>1.0</v>
      </c>
      <c r="F5" s="119"/>
      <c r="G5" s="104"/>
      <c r="H5" s="104"/>
      <c r="I5" s="104"/>
      <c r="J5" s="104"/>
      <c r="K5" s="104"/>
      <c r="L5" s="104"/>
      <c r="M5" s="104"/>
      <c r="N5" s="104"/>
      <c r="O5" s="104"/>
      <c r="P5" s="104"/>
      <c r="Q5" s="104"/>
      <c r="R5" s="104"/>
      <c r="S5" s="104"/>
      <c r="T5" s="104"/>
      <c r="U5" s="104"/>
      <c r="V5" s="104"/>
      <c r="W5" s="104"/>
    </row>
    <row r="6">
      <c r="A6" s="127">
        <v>4.0</v>
      </c>
      <c r="B6" s="128">
        <v>46001.0</v>
      </c>
      <c r="C6" s="127" t="s">
        <v>402</v>
      </c>
      <c r="D6" s="127" t="s">
        <v>403</v>
      </c>
      <c r="E6" s="127">
        <v>2.0</v>
      </c>
      <c r="F6" s="119"/>
      <c r="G6" s="104"/>
      <c r="H6" s="104"/>
      <c r="I6" s="104"/>
      <c r="J6" s="104"/>
      <c r="K6" s="104"/>
      <c r="L6" s="104"/>
      <c r="M6" s="104"/>
      <c r="N6" s="104"/>
      <c r="O6" s="104"/>
      <c r="P6" s="104"/>
      <c r="Q6" s="104"/>
      <c r="R6" s="104"/>
      <c r="S6" s="104"/>
      <c r="T6" s="104"/>
      <c r="U6" s="104"/>
      <c r="V6" s="104"/>
      <c r="W6" s="104"/>
    </row>
    <row r="7">
      <c r="A7" s="127">
        <v>5.0</v>
      </c>
      <c r="B7" s="128">
        <v>46003.0</v>
      </c>
      <c r="C7" s="127" t="s">
        <v>243</v>
      </c>
      <c r="D7" s="127" t="s">
        <v>404</v>
      </c>
      <c r="E7" s="127">
        <v>2.0</v>
      </c>
      <c r="F7" s="119"/>
      <c r="G7" s="104"/>
      <c r="H7" s="104"/>
      <c r="I7" s="104"/>
      <c r="J7" s="104"/>
      <c r="K7" s="104"/>
      <c r="L7" s="104"/>
      <c r="M7" s="104"/>
      <c r="N7" s="104"/>
      <c r="O7" s="104"/>
      <c r="P7" s="104"/>
      <c r="Q7" s="104"/>
      <c r="R7" s="104"/>
      <c r="S7" s="104"/>
      <c r="T7" s="104"/>
      <c r="U7" s="104"/>
      <c r="V7" s="104"/>
      <c r="W7" s="104"/>
    </row>
    <row r="8">
      <c r="A8" s="127">
        <v>6.0</v>
      </c>
      <c r="B8" s="128">
        <v>46005.0</v>
      </c>
      <c r="C8" s="127" t="s">
        <v>405</v>
      </c>
      <c r="D8" s="127" t="s">
        <v>406</v>
      </c>
      <c r="E8" s="127">
        <v>2.0</v>
      </c>
      <c r="F8" s="119"/>
      <c r="G8" s="104"/>
      <c r="H8" s="104"/>
      <c r="I8" s="104"/>
      <c r="J8" s="104"/>
      <c r="K8" s="104"/>
      <c r="L8" s="104"/>
      <c r="M8" s="104"/>
      <c r="N8" s="104"/>
      <c r="O8" s="104"/>
      <c r="P8" s="104"/>
      <c r="Q8" s="104"/>
      <c r="R8" s="104"/>
      <c r="S8" s="104"/>
      <c r="T8" s="104"/>
      <c r="U8" s="104"/>
      <c r="V8" s="104"/>
      <c r="W8" s="104"/>
    </row>
    <row r="9">
      <c r="A9" s="127">
        <v>7.0</v>
      </c>
      <c r="B9" s="128">
        <v>46006.0</v>
      </c>
      <c r="C9" s="127" t="s">
        <v>407</v>
      </c>
      <c r="D9" s="127" t="s">
        <v>408</v>
      </c>
      <c r="E9" s="127">
        <v>2.0</v>
      </c>
      <c r="F9" s="119"/>
      <c r="G9" s="104"/>
      <c r="H9" s="104"/>
      <c r="I9" s="104"/>
      <c r="J9" s="104"/>
      <c r="K9" s="104"/>
      <c r="L9" s="104"/>
      <c r="M9" s="104"/>
      <c r="N9" s="104"/>
      <c r="O9" s="104"/>
      <c r="P9" s="104"/>
      <c r="Q9" s="104"/>
      <c r="R9" s="104"/>
      <c r="S9" s="104"/>
      <c r="T9" s="104"/>
      <c r="U9" s="104"/>
      <c r="V9" s="104"/>
      <c r="W9" s="104"/>
    </row>
    <row r="10">
      <c r="A10" s="127">
        <v>8.0</v>
      </c>
      <c r="B10" s="128">
        <v>46007.0</v>
      </c>
      <c r="C10" s="127" t="s">
        <v>257</v>
      </c>
      <c r="D10" s="127" t="s">
        <v>408</v>
      </c>
      <c r="E10" s="127">
        <v>2.0</v>
      </c>
      <c r="F10" s="119"/>
      <c r="G10" s="104"/>
      <c r="H10" s="104"/>
      <c r="I10" s="104"/>
      <c r="J10" s="104"/>
      <c r="K10" s="104"/>
      <c r="L10" s="104"/>
      <c r="M10" s="104"/>
      <c r="N10" s="104"/>
      <c r="O10" s="104"/>
      <c r="P10" s="104"/>
      <c r="Q10" s="104"/>
      <c r="R10" s="104"/>
      <c r="S10" s="104"/>
      <c r="T10" s="104"/>
      <c r="U10" s="104"/>
      <c r="V10" s="104"/>
      <c r="W10" s="104"/>
    </row>
    <row r="11">
      <c r="A11" s="127">
        <v>9.0</v>
      </c>
      <c r="B11" s="128">
        <v>46008.0</v>
      </c>
      <c r="C11" s="127" t="s">
        <v>409</v>
      </c>
      <c r="D11" s="127" t="s">
        <v>410</v>
      </c>
      <c r="E11" s="127">
        <v>2.0</v>
      </c>
      <c r="F11" s="119"/>
      <c r="G11" s="104"/>
      <c r="H11" s="104"/>
      <c r="I11" s="104"/>
      <c r="J11" s="104"/>
      <c r="K11" s="104"/>
      <c r="L11" s="104"/>
      <c r="M11" s="104"/>
      <c r="N11" s="104"/>
      <c r="O11" s="104"/>
      <c r="P11" s="104"/>
      <c r="Q11" s="104"/>
      <c r="R11" s="104"/>
      <c r="S11" s="104"/>
      <c r="T11" s="104"/>
      <c r="U11" s="104"/>
      <c r="V11" s="104"/>
      <c r="W11" s="104"/>
    </row>
    <row r="12">
      <c r="A12" s="129">
        <v>10.0</v>
      </c>
      <c r="B12" s="130">
        <v>46009.0</v>
      </c>
      <c r="C12" s="127" t="s">
        <v>261</v>
      </c>
      <c r="D12" s="127" t="s">
        <v>411</v>
      </c>
      <c r="E12" s="127">
        <v>2.0</v>
      </c>
      <c r="F12" s="119"/>
      <c r="G12" s="104"/>
      <c r="H12" s="104"/>
      <c r="I12" s="104"/>
      <c r="J12" s="104"/>
      <c r="K12" s="104"/>
      <c r="L12" s="104"/>
      <c r="M12" s="104"/>
      <c r="N12" s="104"/>
      <c r="O12" s="104"/>
      <c r="P12" s="104"/>
      <c r="Q12" s="104"/>
      <c r="R12" s="104"/>
      <c r="S12" s="104"/>
      <c r="T12" s="104"/>
      <c r="U12" s="104"/>
      <c r="V12" s="104"/>
      <c r="W12" s="104"/>
    </row>
    <row r="13">
      <c r="A13" s="52"/>
      <c r="B13" s="52"/>
      <c r="C13" s="127" t="s">
        <v>412</v>
      </c>
      <c r="D13" s="119"/>
      <c r="E13" s="127">
        <v>2.0</v>
      </c>
      <c r="F13" s="119"/>
      <c r="G13" s="104"/>
      <c r="H13" s="104"/>
      <c r="I13" s="104"/>
      <c r="J13" s="104"/>
      <c r="K13" s="104"/>
      <c r="L13" s="104"/>
      <c r="M13" s="104"/>
      <c r="N13" s="104"/>
      <c r="O13" s="104"/>
      <c r="P13" s="104"/>
      <c r="Q13" s="104"/>
      <c r="R13" s="104"/>
      <c r="S13" s="104"/>
      <c r="T13" s="104"/>
      <c r="U13" s="104"/>
      <c r="V13" s="104"/>
      <c r="W13" s="104"/>
    </row>
    <row r="14">
      <c r="A14" s="9"/>
      <c r="B14" s="9"/>
      <c r="C14" s="127" t="s">
        <v>413</v>
      </c>
      <c r="D14" s="119"/>
      <c r="E14" s="127">
        <v>2.0</v>
      </c>
      <c r="F14" s="119"/>
      <c r="G14" s="104"/>
      <c r="H14" s="104"/>
      <c r="I14" s="104"/>
      <c r="J14" s="104"/>
      <c r="K14" s="104"/>
      <c r="L14" s="104"/>
      <c r="M14" s="104"/>
      <c r="N14" s="104"/>
      <c r="O14" s="104"/>
      <c r="P14" s="104"/>
      <c r="Q14" s="104"/>
      <c r="R14" s="104"/>
      <c r="S14" s="104"/>
      <c r="T14" s="104"/>
      <c r="U14" s="104"/>
      <c r="V14" s="104"/>
      <c r="W14" s="104"/>
    </row>
    <row r="15">
      <c r="A15" s="129">
        <v>11.0</v>
      </c>
      <c r="B15" s="130">
        <v>46010.0</v>
      </c>
      <c r="C15" s="127" t="s">
        <v>414</v>
      </c>
      <c r="D15" s="127" t="s">
        <v>415</v>
      </c>
      <c r="E15" s="127">
        <v>2.0</v>
      </c>
      <c r="F15" s="119"/>
      <c r="G15" s="104"/>
      <c r="H15" s="104"/>
      <c r="I15" s="104"/>
      <c r="J15" s="104"/>
      <c r="K15" s="104"/>
      <c r="L15" s="104"/>
      <c r="M15" s="104"/>
      <c r="N15" s="104"/>
      <c r="O15" s="104"/>
      <c r="P15" s="104"/>
      <c r="Q15" s="104"/>
      <c r="R15" s="104"/>
      <c r="S15" s="104"/>
      <c r="T15" s="104"/>
      <c r="U15" s="104"/>
      <c r="V15" s="104"/>
      <c r="W15" s="104"/>
    </row>
    <row r="16">
      <c r="A16" s="9"/>
      <c r="B16" s="9"/>
      <c r="C16" s="127" t="s">
        <v>416</v>
      </c>
      <c r="D16" s="127" t="s">
        <v>417</v>
      </c>
      <c r="E16" s="127">
        <v>2.0</v>
      </c>
      <c r="F16" s="119"/>
      <c r="G16" s="104"/>
      <c r="H16" s="104"/>
      <c r="I16" s="104"/>
      <c r="J16" s="104"/>
      <c r="K16" s="104"/>
      <c r="L16" s="104"/>
      <c r="M16" s="104"/>
      <c r="N16" s="104"/>
      <c r="O16" s="104"/>
      <c r="P16" s="104"/>
      <c r="Q16" s="104"/>
      <c r="R16" s="104"/>
      <c r="S16" s="104"/>
      <c r="T16" s="104"/>
      <c r="U16" s="104"/>
      <c r="V16" s="104"/>
      <c r="W16" s="104"/>
    </row>
    <row r="17">
      <c r="A17" s="127">
        <v>12.0</v>
      </c>
      <c r="B17" s="128">
        <v>46011.0</v>
      </c>
      <c r="C17" s="127" t="s">
        <v>418</v>
      </c>
      <c r="D17" s="127" t="s">
        <v>419</v>
      </c>
      <c r="E17" s="127">
        <v>1.0</v>
      </c>
      <c r="F17" s="119"/>
      <c r="G17" s="104"/>
      <c r="H17" s="104"/>
      <c r="I17" s="104"/>
      <c r="J17" s="104"/>
      <c r="K17" s="104"/>
      <c r="L17" s="104"/>
      <c r="M17" s="104"/>
      <c r="N17" s="104"/>
      <c r="O17" s="104"/>
      <c r="P17" s="104"/>
      <c r="Q17" s="104"/>
      <c r="R17" s="104"/>
      <c r="S17" s="104"/>
      <c r="T17" s="104"/>
      <c r="U17" s="104"/>
      <c r="V17" s="104"/>
      <c r="W17" s="104"/>
    </row>
    <row r="18">
      <c r="A18" s="127">
        <v>13.0</v>
      </c>
      <c r="B18" s="128">
        <v>46012.0</v>
      </c>
      <c r="C18" s="127" t="s">
        <v>196</v>
      </c>
      <c r="D18" s="127" t="s">
        <v>420</v>
      </c>
      <c r="E18" s="127">
        <v>2.0</v>
      </c>
      <c r="F18" s="119"/>
      <c r="G18" s="104"/>
      <c r="H18" s="104"/>
      <c r="I18" s="104"/>
      <c r="J18" s="104"/>
      <c r="K18" s="104"/>
      <c r="L18" s="104"/>
      <c r="M18" s="104"/>
      <c r="N18" s="104"/>
      <c r="O18" s="104"/>
      <c r="P18" s="104"/>
      <c r="Q18" s="104"/>
      <c r="R18" s="104"/>
      <c r="S18" s="104"/>
      <c r="T18" s="104"/>
      <c r="U18" s="104"/>
      <c r="V18" s="104"/>
      <c r="W18" s="104"/>
    </row>
    <row r="19">
      <c r="A19" s="129">
        <v>14.0</v>
      </c>
      <c r="B19" s="130">
        <v>46013.0</v>
      </c>
      <c r="C19" s="127" t="s">
        <v>421</v>
      </c>
      <c r="D19" s="127" t="s">
        <v>422</v>
      </c>
      <c r="E19" s="127">
        <v>2.0</v>
      </c>
      <c r="F19" s="127" t="s">
        <v>423</v>
      </c>
      <c r="G19" s="104"/>
      <c r="H19" s="104"/>
      <c r="I19" s="104"/>
      <c r="J19" s="104"/>
      <c r="K19" s="104"/>
      <c r="L19" s="104"/>
      <c r="M19" s="104"/>
      <c r="N19" s="104"/>
      <c r="O19" s="104"/>
      <c r="P19" s="104"/>
      <c r="Q19" s="104"/>
      <c r="R19" s="104"/>
      <c r="S19" s="104"/>
      <c r="T19" s="104"/>
      <c r="U19" s="104"/>
      <c r="V19" s="104"/>
      <c r="W19" s="104"/>
    </row>
    <row r="20">
      <c r="A20" s="9"/>
      <c r="B20" s="9"/>
      <c r="C20" s="127" t="s">
        <v>424</v>
      </c>
      <c r="D20" s="119"/>
      <c r="E20" s="127">
        <v>2.0</v>
      </c>
      <c r="F20" s="119"/>
      <c r="G20" s="104"/>
      <c r="H20" s="104"/>
      <c r="I20" s="104"/>
      <c r="J20" s="104"/>
      <c r="K20" s="104"/>
      <c r="L20" s="104"/>
      <c r="M20" s="104"/>
      <c r="N20" s="104"/>
      <c r="O20" s="104"/>
      <c r="P20" s="104"/>
      <c r="Q20" s="104"/>
      <c r="R20" s="104"/>
      <c r="S20" s="104"/>
      <c r="T20" s="104"/>
      <c r="U20" s="104"/>
      <c r="V20" s="104"/>
      <c r="W20" s="104"/>
    </row>
    <row r="21">
      <c r="A21" s="127">
        <v>15.0</v>
      </c>
      <c r="B21" s="128">
        <v>46014.0</v>
      </c>
      <c r="C21" s="127" t="s">
        <v>425</v>
      </c>
      <c r="D21" s="119"/>
      <c r="E21" s="127">
        <v>2.0</v>
      </c>
      <c r="F21" s="119"/>
      <c r="G21" s="104"/>
      <c r="H21" s="104"/>
      <c r="I21" s="104"/>
      <c r="J21" s="104"/>
      <c r="K21" s="104"/>
      <c r="L21" s="104"/>
      <c r="M21" s="104"/>
      <c r="N21" s="104"/>
      <c r="O21" s="104"/>
      <c r="P21" s="104"/>
      <c r="Q21" s="104"/>
      <c r="R21" s="104"/>
      <c r="S21" s="104"/>
      <c r="T21" s="104"/>
      <c r="U21" s="104"/>
      <c r="V21" s="104"/>
      <c r="W21" s="104"/>
    </row>
    <row r="22">
      <c r="A22" s="129">
        <v>16.0</v>
      </c>
      <c r="B22" s="130">
        <v>46015.0</v>
      </c>
      <c r="C22" s="127" t="s">
        <v>426</v>
      </c>
      <c r="D22" s="127" t="s">
        <v>427</v>
      </c>
      <c r="E22" s="127">
        <v>2.0</v>
      </c>
      <c r="F22" s="119"/>
      <c r="G22" s="104"/>
      <c r="H22" s="104"/>
      <c r="I22" s="104"/>
      <c r="J22" s="104"/>
      <c r="K22" s="104"/>
      <c r="L22" s="104"/>
      <c r="M22" s="104"/>
      <c r="N22" s="104"/>
      <c r="O22" s="104"/>
      <c r="P22" s="104"/>
      <c r="Q22" s="104"/>
      <c r="R22" s="104"/>
      <c r="S22" s="104"/>
      <c r="T22" s="104"/>
      <c r="U22" s="104"/>
      <c r="V22" s="104"/>
      <c r="W22" s="104"/>
    </row>
    <row r="23">
      <c r="A23" s="9"/>
      <c r="B23" s="9"/>
      <c r="C23" s="127" t="s">
        <v>289</v>
      </c>
      <c r="D23" s="119"/>
      <c r="E23" s="127">
        <v>2.0</v>
      </c>
      <c r="F23" s="119"/>
      <c r="G23" s="104"/>
      <c r="H23" s="104"/>
      <c r="I23" s="104"/>
      <c r="J23" s="104"/>
      <c r="K23" s="104"/>
      <c r="L23" s="104"/>
      <c r="M23" s="104"/>
      <c r="N23" s="104"/>
      <c r="O23" s="104"/>
      <c r="P23" s="104"/>
      <c r="Q23" s="104"/>
      <c r="R23" s="104"/>
      <c r="S23" s="104"/>
      <c r="T23" s="104"/>
      <c r="U23" s="104"/>
      <c r="V23" s="104"/>
      <c r="W23" s="104"/>
    </row>
    <row r="24">
      <c r="A24" s="129">
        <v>17.0</v>
      </c>
      <c r="B24" s="130">
        <v>46020.0</v>
      </c>
      <c r="C24" s="127" t="s">
        <v>428</v>
      </c>
      <c r="D24" s="119"/>
      <c r="E24" s="127">
        <v>2.0</v>
      </c>
      <c r="F24" s="119"/>
      <c r="G24" s="104"/>
      <c r="H24" s="104"/>
      <c r="I24" s="104"/>
      <c r="J24" s="104"/>
      <c r="K24" s="104"/>
      <c r="L24" s="104"/>
      <c r="M24" s="104"/>
      <c r="N24" s="104"/>
      <c r="O24" s="104"/>
      <c r="P24" s="104"/>
      <c r="Q24" s="104"/>
      <c r="R24" s="104"/>
      <c r="S24" s="104"/>
      <c r="T24" s="104"/>
      <c r="U24" s="104"/>
      <c r="V24" s="104"/>
      <c r="W24" s="104"/>
    </row>
    <row r="25">
      <c r="A25" s="9"/>
      <c r="B25" s="9"/>
      <c r="C25" s="127" t="s">
        <v>429</v>
      </c>
      <c r="D25" s="119"/>
      <c r="E25" s="127">
        <v>2.0</v>
      </c>
      <c r="F25" s="119"/>
      <c r="G25" s="104"/>
      <c r="H25" s="104"/>
      <c r="I25" s="104"/>
      <c r="J25" s="104"/>
      <c r="K25" s="104"/>
      <c r="L25" s="104"/>
      <c r="M25" s="104"/>
      <c r="N25" s="104"/>
      <c r="O25" s="104"/>
      <c r="P25" s="104"/>
      <c r="Q25" s="104"/>
      <c r="R25" s="104"/>
      <c r="S25" s="104"/>
      <c r="T25" s="104"/>
      <c r="U25" s="104"/>
      <c r="V25" s="104"/>
      <c r="W25" s="104"/>
    </row>
    <row r="26">
      <c r="A26" s="127">
        <v>18.0</v>
      </c>
      <c r="B26" s="128">
        <v>46021.0</v>
      </c>
      <c r="C26" s="127" t="s">
        <v>430</v>
      </c>
      <c r="D26" s="127" t="s">
        <v>427</v>
      </c>
      <c r="E26" s="127">
        <v>3.0</v>
      </c>
      <c r="F26" s="119"/>
      <c r="G26" s="104"/>
      <c r="H26" s="104"/>
      <c r="I26" s="104"/>
      <c r="J26" s="104"/>
      <c r="K26" s="104"/>
      <c r="L26" s="104"/>
      <c r="M26" s="104"/>
      <c r="N26" s="104"/>
      <c r="O26" s="104"/>
      <c r="P26" s="104"/>
      <c r="Q26" s="104"/>
      <c r="R26" s="104"/>
      <c r="S26" s="104"/>
      <c r="T26" s="104"/>
      <c r="U26" s="104"/>
      <c r="V26" s="104"/>
      <c r="W26" s="104"/>
    </row>
    <row r="27">
      <c r="A27" s="127">
        <v>19.0</v>
      </c>
      <c r="B27" s="132">
        <v>46041.0</v>
      </c>
      <c r="C27" s="127" t="s">
        <v>431</v>
      </c>
      <c r="D27" s="119"/>
      <c r="E27" s="127">
        <v>2.0</v>
      </c>
      <c r="F27" s="119"/>
      <c r="G27" s="104"/>
      <c r="H27" s="104"/>
      <c r="I27" s="104"/>
      <c r="J27" s="104"/>
      <c r="K27" s="104"/>
      <c r="L27" s="104"/>
      <c r="M27" s="104"/>
      <c r="N27" s="104"/>
      <c r="O27" s="104"/>
      <c r="P27" s="104"/>
      <c r="Q27" s="104"/>
      <c r="R27" s="104"/>
      <c r="S27" s="104"/>
      <c r="T27" s="104"/>
      <c r="U27" s="104"/>
      <c r="V27" s="104"/>
      <c r="W27" s="104"/>
    </row>
    <row r="28">
      <c r="A28" s="127">
        <v>20.0</v>
      </c>
      <c r="B28" s="132">
        <v>46042.0</v>
      </c>
      <c r="C28" s="127" t="s">
        <v>432</v>
      </c>
      <c r="D28" s="119"/>
      <c r="E28" s="127">
        <v>2.0</v>
      </c>
      <c r="F28" s="119"/>
      <c r="G28" s="104"/>
      <c r="H28" s="104"/>
      <c r="I28" s="104"/>
      <c r="J28" s="104"/>
      <c r="K28" s="104"/>
      <c r="L28" s="104"/>
      <c r="M28" s="104"/>
      <c r="N28" s="104"/>
      <c r="O28" s="104"/>
      <c r="P28" s="104"/>
      <c r="Q28" s="104"/>
      <c r="R28" s="104"/>
      <c r="S28" s="104"/>
      <c r="T28" s="104"/>
      <c r="U28" s="104"/>
      <c r="V28" s="104"/>
      <c r="W28" s="104"/>
    </row>
    <row r="29">
      <c r="A29" s="129">
        <v>21.0</v>
      </c>
      <c r="B29" s="131">
        <v>46043.0</v>
      </c>
      <c r="C29" s="127" t="s">
        <v>375</v>
      </c>
      <c r="D29" s="119"/>
      <c r="E29" s="127">
        <v>2.0</v>
      </c>
      <c r="F29" s="119"/>
      <c r="G29" s="104"/>
      <c r="H29" s="104"/>
      <c r="I29" s="104"/>
      <c r="J29" s="104"/>
      <c r="K29" s="104"/>
      <c r="L29" s="104"/>
      <c r="M29" s="104"/>
      <c r="N29" s="104"/>
      <c r="O29" s="104"/>
      <c r="P29" s="104"/>
      <c r="Q29" s="104"/>
      <c r="R29" s="104"/>
      <c r="S29" s="104"/>
      <c r="T29" s="104"/>
      <c r="U29" s="104"/>
      <c r="V29" s="104"/>
      <c r="W29" s="104"/>
    </row>
    <row r="30">
      <c r="A30" s="9"/>
      <c r="B30" s="9"/>
      <c r="C30" s="127" t="s">
        <v>433</v>
      </c>
      <c r="D30" s="119"/>
      <c r="E30" s="127">
        <v>2.0</v>
      </c>
      <c r="F30" s="119"/>
      <c r="G30" s="104"/>
      <c r="H30" s="104"/>
      <c r="I30" s="104"/>
      <c r="J30" s="104"/>
      <c r="K30" s="104"/>
      <c r="L30" s="104"/>
      <c r="M30" s="104"/>
      <c r="N30" s="104"/>
      <c r="O30" s="104"/>
      <c r="P30" s="104"/>
      <c r="Q30" s="104"/>
      <c r="R30" s="104"/>
      <c r="S30" s="104"/>
      <c r="T30" s="104"/>
      <c r="U30" s="104"/>
      <c r="V30" s="104"/>
      <c r="W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row>
    <row r="1000">
      <c r="A1000" s="162"/>
      <c r="B1000" s="162"/>
      <c r="C1000" s="162"/>
      <c r="D1000" s="162"/>
      <c r="E1000" s="162"/>
      <c r="F1000" s="162"/>
      <c r="G1000" s="104"/>
      <c r="H1000" s="104"/>
      <c r="I1000" s="104"/>
      <c r="J1000" s="104"/>
      <c r="K1000" s="104"/>
      <c r="L1000" s="104"/>
      <c r="M1000" s="104"/>
      <c r="N1000" s="104"/>
      <c r="O1000" s="104"/>
      <c r="P1000" s="104"/>
      <c r="Q1000" s="104"/>
      <c r="R1000" s="104"/>
      <c r="S1000" s="104"/>
      <c r="T1000" s="104"/>
      <c r="U1000" s="104"/>
      <c r="V1000" s="104"/>
      <c r="W1000" s="104"/>
    </row>
    <row r="1001">
      <c r="A1001" s="162"/>
      <c r="B1001" s="162"/>
      <c r="C1001" s="162"/>
      <c r="D1001" s="162"/>
      <c r="E1001" s="162"/>
      <c r="F1001" s="162"/>
      <c r="G1001" s="104"/>
      <c r="H1001" s="104"/>
      <c r="I1001" s="104"/>
      <c r="J1001" s="104"/>
      <c r="K1001" s="104"/>
      <c r="L1001" s="104"/>
      <c r="M1001" s="104"/>
      <c r="N1001" s="104"/>
      <c r="O1001" s="104"/>
      <c r="P1001" s="104"/>
      <c r="Q1001" s="104"/>
      <c r="R1001" s="104"/>
      <c r="S1001" s="104"/>
      <c r="T1001" s="104"/>
      <c r="U1001" s="104"/>
      <c r="V1001" s="104"/>
      <c r="W1001" s="104"/>
    </row>
  </sheetData>
  <mergeCells count="13">
    <mergeCell ref="A22:A23"/>
    <mergeCell ref="B22:B23"/>
    <mergeCell ref="A24:A25"/>
    <mergeCell ref="B24:B25"/>
    <mergeCell ref="A29:A30"/>
    <mergeCell ref="B29:B30"/>
    <mergeCell ref="A1:F1"/>
    <mergeCell ref="A12:A14"/>
    <mergeCell ref="B12:B14"/>
    <mergeCell ref="A15:A16"/>
    <mergeCell ref="B15:B16"/>
    <mergeCell ref="A19:A20"/>
    <mergeCell ref="B19:B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min="2" max="2" width="13.88"/>
    <col customWidth="1" min="3" max="3" width="23.0"/>
    <col customWidth="1" min="4" max="4" width="20.0"/>
    <col customWidth="1" min="5" max="5" width="24.25"/>
    <col customWidth="1" min="6" max="6" width="20.5"/>
    <col customWidth="1" min="7" max="7" width="23.0"/>
    <col customWidth="1" min="8" max="8" width="17.5"/>
    <col customWidth="1" min="9" max="9" width="20.63"/>
    <col customWidth="1" min="10" max="10" width="28.75"/>
    <col customWidth="1" min="11" max="11" width="22.38"/>
    <col customWidth="1" min="12" max="12" width="18.75"/>
    <col customWidth="1" min="13" max="13" width="20.0"/>
    <col customWidth="1" min="14" max="14" width="19.63"/>
    <col customWidth="1" min="15" max="15" width="19.25"/>
    <col customWidth="1" min="16" max="16" width="14.38"/>
  </cols>
  <sheetData>
    <row r="1">
      <c r="A1" s="165" t="s">
        <v>434</v>
      </c>
      <c r="B1" s="3"/>
      <c r="C1" s="3"/>
      <c r="D1" s="3"/>
      <c r="E1" s="3"/>
      <c r="F1" s="3"/>
      <c r="G1" s="3"/>
      <c r="H1" s="3"/>
      <c r="I1" s="3"/>
      <c r="J1" s="3"/>
      <c r="K1" s="3"/>
      <c r="L1" s="3"/>
      <c r="M1" s="3"/>
      <c r="N1" s="3"/>
      <c r="O1" s="3"/>
      <c r="P1" s="4"/>
    </row>
    <row r="2">
      <c r="A2" s="166" t="s">
        <v>178</v>
      </c>
      <c r="B2" s="167" t="s">
        <v>435</v>
      </c>
      <c r="C2" s="166" t="s">
        <v>436</v>
      </c>
      <c r="D2" s="166" t="s">
        <v>437</v>
      </c>
      <c r="E2" s="166" t="s">
        <v>438</v>
      </c>
      <c r="F2" s="166" t="s">
        <v>439</v>
      </c>
      <c r="G2" s="167" t="s">
        <v>440</v>
      </c>
      <c r="H2" s="167" t="s">
        <v>441</v>
      </c>
      <c r="I2" s="167" t="s">
        <v>442</v>
      </c>
      <c r="J2" s="167" t="s">
        <v>443</v>
      </c>
      <c r="K2" s="167" t="s">
        <v>444</v>
      </c>
      <c r="L2" s="167" t="s">
        <v>445</v>
      </c>
      <c r="M2" s="167" t="s">
        <v>446</v>
      </c>
      <c r="N2" s="168" t="s">
        <v>447</v>
      </c>
      <c r="O2" s="168" t="s">
        <v>448</v>
      </c>
      <c r="P2" s="168" t="s">
        <v>449</v>
      </c>
    </row>
    <row r="3">
      <c r="A3" s="169">
        <v>1.0</v>
      </c>
      <c r="B3" s="170">
        <v>45984.0</v>
      </c>
      <c r="C3" s="169" t="s">
        <v>450</v>
      </c>
      <c r="D3" s="169" t="s">
        <v>451</v>
      </c>
      <c r="E3" s="169" t="s">
        <v>452</v>
      </c>
      <c r="F3" s="171"/>
      <c r="G3" s="169" t="s">
        <v>453</v>
      </c>
      <c r="H3" s="169">
        <v>0.0</v>
      </c>
      <c r="I3" s="171"/>
      <c r="J3" s="171"/>
      <c r="K3" s="169" t="s">
        <v>454</v>
      </c>
      <c r="L3" s="171"/>
      <c r="M3" s="169" t="s">
        <v>455</v>
      </c>
      <c r="N3" s="169">
        <v>5.0</v>
      </c>
      <c r="O3" s="169" t="s">
        <v>456</v>
      </c>
      <c r="P3" s="171"/>
    </row>
    <row r="4">
      <c r="A4" s="169">
        <v>2.0</v>
      </c>
      <c r="B4" s="172">
        <v>46039.0</v>
      </c>
      <c r="C4" s="169" t="s">
        <v>457</v>
      </c>
      <c r="D4" s="169" t="s">
        <v>458</v>
      </c>
      <c r="E4" s="169" t="s">
        <v>459</v>
      </c>
      <c r="F4" s="171"/>
      <c r="G4" s="169" t="s">
        <v>460</v>
      </c>
      <c r="H4" s="169">
        <v>0.0</v>
      </c>
      <c r="I4" s="173">
        <v>2.14E8</v>
      </c>
      <c r="J4" s="173">
        <v>1.0E9</v>
      </c>
      <c r="K4" s="169" t="s">
        <v>461</v>
      </c>
      <c r="L4" s="171"/>
      <c r="M4" s="169" t="s">
        <v>462</v>
      </c>
      <c r="N4" s="169">
        <v>3.0</v>
      </c>
      <c r="O4" s="169" t="s">
        <v>463</v>
      </c>
      <c r="P4" s="171"/>
    </row>
    <row r="5">
      <c r="A5" s="169">
        <v>3.0</v>
      </c>
      <c r="B5" s="172">
        <v>46053.0</v>
      </c>
      <c r="C5" s="169" t="s">
        <v>464</v>
      </c>
      <c r="D5" s="169" t="s">
        <v>465</v>
      </c>
      <c r="E5" s="169" t="s">
        <v>466</v>
      </c>
      <c r="F5" s="171"/>
      <c r="G5" s="171"/>
      <c r="H5" s="169">
        <v>0.0</v>
      </c>
      <c r="I5" s="173">
        <v>4.77E8</v>
      </c>
      <c r="J5" s="169" t="s">
        <v>467</v>
      </c>
      <c r="K5" s="169" t="s">
        <v>468</v>
      </c>
      <c r="L5" s="171"/>
      <c r="M5" s="169" t="s">
        <v>469</v>
      </c>
      <c r="N5" s="169">
        <v>2.0</v>
      </c>
      <c r="O5" s="169" t="s">
        <v>463</v>
      </c>
      <c r="P5" s="171"/>
    </row>
    <row r="6">
      <c r="A6" s="169">
        <v>4.0</v>
      </c>
      <c r="B6" s="172">
        <v>46073.0</v>
      </c>
      <c r="C6" s="169" t="s">
        <v>470</v>
      </c>
      <c r="D6" s="169" t="s">
        <v>471</v>
      </c>
      <c r="E6" s="169" t="s">
        <v>472</v>
      </c>
      <c r="F6" s="171"/>
      <c r="G6" s="169" t="s">
        <v>473</v>
      </c>
      <c r="H6" s="169">
        <v>0.0</v>
      </c>
      <c r="I6" s="173">
        <v>4.0E7</v>
      </c>
      <c r="J6" s="173">
        <v>1.0E8</v>
      </c>
      <c r="K6" s="171"/>
      <c r="L6" s="171"/>
      <c r="M6" s="169" t="s">
        <v>474</v>
      </c>
      <c r="N6" s="169">
        <v>2.0</v>
      </c>
      <c r="O6" s="169" t="s">
        <v>475</v>
      </c>
      <c r="P6" s="171"/>
    </row>
    <row r="7">
      <c r="A7" s="169">
        <v>5.0</v>
      </c>
      <c r="B7" s="170">
        <v>46105.0</v>
      </c>
      <c r="C7" s="169" t="s">
        <v>476</v>
      </c>
      <c r="D7" s="174" t="s">
        <v>477</v>
      </c>
      <c r="E7" s="169" t="s">
        <v>478</v>
      </c>
      <c r="F7" s="171"/>
      <c r="G7" s="169" t="s">
        <v>453</v>
      </c>
      <c r="H7" s="169" t="s">
        <v>479</v>
      </c>
      <c r="I7" s="171"/>
      <c r="J7" s="171"/>
      <c r="K7" s="174" t="s">
        <v>480</v>
      </c>
      <c r="L7" s="174" t="s">
        <v>481</v>
      </c>
      <c r="M7" s="169" t="s">
        <v>482</v>
      </c>
      <c r="N7" s="169">
        <v>9.0</v>
      </c>
      <c r="O7" s="169" t="s">
        <v>483</v>
      </c>
      <c r="P7" s="169" t="s">
        <v>484</v>
      </c>
    </row>
    <row r="8">
      <c r="A8" s="175"/>
      <c r="B8" s="175"/>
      <c r="C8" s="175"/>
      <c r="D8" s="175"/>
      <c r="E8" s="175"/>
      <c r="F8" s="175"/>
      <c r="G8" s="175"/>
      <c r="H8" s="175"/>
      <c r="I8" s="175"/>
      <c r="J8" s="175"/>
      <c r="K8" s="175"/>
      <c r="L8" s="175"/>
      <c r="M8" s="175"/>
      <c r="N8" s="175"/>
      <c r="O8" s="175"/>
      <c r="P8" s="175"/>
    </row>
    <row r="9">
      <c r="A9" s="175"/>
      <c r="B9" s="175"/>
      <c r="C9" s="175"/>
      <c r="D9" s="175"/>
      <c r="E9" s="175"/>
      <c r="F9" s="175"/>
      <c r="G9" s="175"/>
      <c r="H9" s="175"/>
      <c r="I9" s="175"/>
      <c r="J9" s="175"/>
      <c r="K9" s="175"/>
      <c r="L9" s="175"/>
      <c r="M9" s="175"/>
      <c r="N9" s="175"/>
      <c r="O9" s="175"/>
      <c r="P9" s="175"/>
    </row>
    <row r="10">
      <c r="A10" s="175"/>
      <c r="B10" s="175"/>
      <c r="C10" s="175"/>
      <c r="D10" s="175"/>
      <c r="E10" s="175"/>
      <c r="F10" s="175"/>
      <c r="G10" s="175"/>
      <c r="H10" s="175"/>
      <c r="I10" s="175"/>
      <c r="J10" s="175"/>
      <c r="K10" s="175"/>
      <c r="L10" s="175"/>
      <c r="M10" s="175"/>
      <c r="N10" s="175"/>
      <c r="O10" s="175"/>
      <c r="P10" s="175"/>
    </row>
    <row r="11">
      <c r="A11" s="175"/>
      <c r="B11" s="175"/>
      <c r="C11" s="175"/>
      <c r="D11" s="175"/>
      <c r="E11" s="175"/>
      <c r="F11" s="175"/>
      <c r="G11" s="175"/>
      <c r="H11" s="175"/>
      <c r="I11" s="175"/>
      <c r="J11" s="175"/>
      <c r="K11" s="175"/>
      <c r="L11" s="175"/>
      <c r="M11" s="175"/>
      <c r="N11" s="175"/>
      <c r="O11" s="175"/>
      <c r="P11" s="175"/>
    </row>
    <row r="12">
      <c r="A12" s="175"/>
      <c r="B12" s="175"/>
      <c r="C12" s="175"/>
      <c r="D12" s="175"/>
      <c r="E12" s="175"/>
      <c r="F12" s="175"/>
      <c r="G12" s="175"/>
      <c r="H12" s="175"/>
      <c r="I12" s="175"/>
      <c r="J12" s="175"/>
      <c r="K12" s="175"/>
      <c r="L12" s="175"/>
      <c r="M12" s="175"/>
      <c r="N12" s="175"/>
      <c r="O12" s="175"/>
      <c r="P12" s="175"/>
    </row>
    <row r="13">
      <c r="A13" s="175"/>
      <c r="B13" s="175"/>
      <c r="C13" s="175"/>
      <c r="D13" s="175"/>
      <c r="E13" s="175"/>
      <c r="F13" s="175"/>
      <c r="G13" s="175"/>
      <c r="H13" s="175"/>
      <c r="I13" s="175"/>
      <c r="J13" s="175"/>
      <c r="K13" s="175"/>
      <c r="L13" s="175"/>
      <c r="M13" s="175"/>
      <c r="N13" s="175"/>
      <c r="O13" s="175"/>
      <c r="P13" s="175"/>
    </row>
    <row r="14">
      <c r="A14" s="175"/>
      <c r="B14" s="175"/>
      <c r="C14" s="175"/>
      <c r="D14" s="175"/>
      <c r="E14" s="175"/>
      <c r="F14" s="175"/>
      <c r="G14" s="175"/>
      <c r="H14" s="175"/>
      <c r="I14" s="175"/>
      <c r="J14" s="175"/>
      <c r="K14" s="175"/>
      <c r="L14" s="175"/>
      <c r="M14" s="175"/>
      <c r="N14" s="175"/>
      <c r="O14" s="175"/>
      <c r="P14" s="175"/>
    </row>
    <row r="15">
      <c r="A15" s="175"/>
      <c r="B15" s="175"/>
      <c r="C15" s="175"/>
      <c r="D15" s="175"/>
      <c r="E15" s="175"/>
      <c r="F15" s="175"/>
      <c r="G15" s="175"/>
      <c r="H15" s="175"/>
      <c r="I15" s="175"/>
      <c r="J15" s="175"/>
      <c r="K15" s="175"/>
      <c r="L15" s="175"/>
      <c r="M15" s="175"/>
      <c r="N15" s="175"/>
      <c r="O15" s="175"/>
      <c r="P15" s="175"/>
    </row>
    <row r="16">
      <c r="A16" s="175"/>
      <c r="B16" s="175"/>
      <c r="C16" s="175"/>
      <c r="D16" s="175"/>
      <c r="E16" s="175"/>
      <c r="F16" s="175"/>
      <c r="G16" s="175"/>
      <c r="H16" s="175"/>
      <c r="I16" s="175"/>
      <c r="J16" s="175"/>
      <c r="K16" s="175"/>
      <c r="L16" s="175"/>
      <c r="M16" s="175"/>
      <c r="N16" s="175"/>
      <c r="O16" s="175"/>
      <c r="P16" s="175"/>
    </row>
    <row r="17">
      <c r="A17" s="175"/>
      <c r="B17" s="175"/>
      <c r="C17" s="175"/>
      <c r="D17" s="175"/>
      <c r="E17" s="175"/>
      <c r="F17" s="175"/>
      <c r="G17" s="175"/>
      <c r="H17" s="175"/>
      <c r="I17" s="175"/>
      <c r="J17" s="175"/>
      <c r="K17" s="175"/>
      <c r="L17" s="175"/>
      <c r="M17" s="175"/>
      <c r="N17" s="175"/>
      <c r="O17" s="175"/>
      <c r="P17" s="175"/>
    </row>
    <row r="18">
      <c r="A18" s="175"/>
      <c r="B18" s="175"/>
      <c r="C18" s="175"/>
      <c r="D18" s="175"/>
      <c r="E18" s="175"/>
      <c r="F18" s="175"/>
      <c r="G18" s="175"/>
      <c r="H18" s="175"/>
      <c r="I18" s="175"/>
      <c r="J18" s="175"/>
      <c r="K18" s="175"/>
      <c r="L18" s="175"/>
      <c r="M18" s="175"/>
      <c r="N18" s="175"/>
      <c r="O18" s="175"/>
      <c r="P18" s="175"/>
    </row>
    <row r="19">
      <c r="A19" s="175"/>
      <c r="B19" s="175"/>
      <c r="C19" s="175"/>
      <c r="D19" s="175"/>
      <c r="E19" s="175"/>
      <c r="F19" s="175"/>
      <c r="G19" s="175"/>
      <c r="H19" s="175"/>
      <c r="I19" s="175"/>
      <c r="J19" s="175"/>
      <c r="K19" s="175"/>
      <c r="L19" s="175"/>
      <c r="M19" s="175"/>
      <c r="N19" s="175"/>
      <c r="O19" s="175"/>
      <c r="P19" s="175"/>
    </row>
    <row r="20">
      <c r="A20" s="175"/>
      <c r="B20" s="175"/>
      <c r="C20" s="175"/>
      <c r="D20" s="175"/>
      <c r="E20" s="175"/>
      <c r="F20" s="175"/>
      <c r="G20" s="175"/>
      <c r="H20" s="175"/>
      <c r="I20" s="175"/>
      <c r="J20" s="175"/>
      <c r="K20" s="175"/>
      <c r="L20" s="175"/>
      <c r="M20" s="175"/>
      <c r="N20" s="175"/>
      <c r="O20" s="175"/>
      <c r="P20" s="175"/>
    </row>
    <row r="21">
      <c r="A21" s="175"/>
      <c r="B21" s="175"/>
      <c r="C21" s="175"/>
      <c r="D21" s="175"/>
      <c r="E21" s="175"/>
      <c r="F21" s="175"/>
      <c r="G21" s="175"/>
      <c r="H21" s="175"/>
      <c r="I21" s="175"/>
      <c r="J21" s="175"/>
      <c r="K21" s="175"/>
      <c r="L21" s="175"/>
      <c r="M21" s="175"/>
      <c r="N21" s="175"/>
      <c r="O21" s="175"/>
      <c r="P21" s="175"/>
    </row>
    <row r="22">
      <c r="A22" s="175"/>
      <c r="B22" s="175"/>
      <c r="C22" s="175"/>
      <c r="D22" s="175"/>
      <c r="E22" s="175"/>
      <c r="F22" s="175"/>
      <c r="G22" s="175"/>
      <c r="H22" s="175"/>
      <c r="I22" s="175"/>
      <c r="J22" s="175"/>
      <c r="K22" s="175"/>
      <c r="L22" s="175"/>
      <c r="M22" s="175"/>
      <c r="N22" s="175"/>
      <c r="O22" s="175"/>
      <c r="P22" s="175"/>
    </row>
    <row r="23">
      <c r="A23" s="175"/>
      <c r="B23" s="175"/>
      <c r="C23" s="175"/>
      <c r="D23" s="175"/>
      <c r="E23" s="175"/>
      <c r="F23" s="175"/>
      <c r="G23" s="175"/>
      <c r="H23" s="175"/>
      <c r="I23" s="175"/>
      <c r="J23" s="175"/>
      <c r="K23" s="175"/>
      <c r="L23" s="175"/>
      <c r="M23" s="175"/>
      <c r="N23" s="175"/>
      <c r="O23" s="175"/>
      <c r="P23" s="175"/>
    </row>
    <row r="24">
      <c r="A24" s="175"/>
      <c r="B24" s="175"/>
      <c r="C24" s="175"/>
      <c r="D24" s="175"/>
      <c r="E24" s="175"/>
      <c r="F24" s="175"/>
      <c r="G24" s="175"/>
      <c r="H24" s="175"/>
      <c r="I24" s="175"/>
      <c r="J24" s="175"/>
      <c r="K24" s="175"/>
      <c r="L24" s="175"/>
      <c r="M24" s="175"/>
      <c r="N24" s="175"/>
      <c r="O24" s="175"/>
      <c r="P24" s="175"/>
    </row>
    <row r="25">
      <c r="A25" s="175"/>
      <c r="B25" s="175"/>
      <c r="C25" s="175"/>
      <c r="D25" s="175"/>
      <c r="E25" s="175"/>
      <c r="F25" s="175"/>
      <c r="G25" s="175"/>
      <c r="H25" s="175"/>
      <c r="I25" s="175"/>
      <c r="J25" s="175"/>
      <c r="K25" s="175"/>
      <c r="L25" s="175"/>
      <c r="M25" s="175"/>
      <c r="N25" s="175"/>
      <c r="O25" s="175"/>
      <c r="P25" s="175"/>
    </row>
    <row r="26">
      <c r="A26" s="175"/>
      <c r="B26" s="175"/>
      <c r="C26" s="175"/>
      <c r="D26" s="175"/>
      <c r="E26" s="175"/>
      <c r="F26" s="175"/>
      <c r="G26" s="175"/>
      <c r="H26" s="175"/>
      <c r="I26" s="175"/>
      <c r="J26" s="175"/>
      <c r="K26" s="175"/>
      <c r="L26" s="175"/>
      <c r="M26" s="175"/>
      <c r="N26" s="175"/>
      <c r="O26" s="175"/>
      <c r="P26" s="175"/>
    </row>
    <row r="27">
      <c r="A27" s="175"/>
      <c r="B27" s="175"/>
      <c r="C27" s="175"/>
      <c r="D27" s="175"/>
      <c r="E27" s="175"/>
      <c r="F27" s="175"/>
      <c r="G27" s="175"/>
      <c r="H27" s="175"/>
      <c r="I27" s="175"/>
      <c r="J27" s="175"/>
      <c r="K27" s="175"/>
      <c r="L27" s="175"/>
      <c r="M27" s="175"/>
      <c r="N27" s="175"/>
      <c r="O27" s="175"/>
      <c r="P27" s="175"/>
    </row>
    <row r="28">
      <c r="A28" s="175"/>
      <c r="B28" s="175"/>
      <c r="C28" s="175"/>
      <c r="D28" s="175"/>
      <c r="E28" s="175"/>
      <c r="F28" s="175"/>
      <c r="G28" s="175"/>
      <c r="H28" s="175"/>
      <c r="I28" s="175"/>
      <c r="J28" s="175"/>
      <c r="K28" s="175"/>
      <c r="L28" s="175"/>
      <c r="M28" s="175"/>
      <c r="N28" s="175"/>
      <c r="O28" s="175"/>
      <c r="P28" s="175"/>
    </row>
    <row r="29">
      <c r="A29" s="175"/>
      <c r="B29" s="175"/>
      <c r="C29" s="175"/>
      <c r="D29" s="175"/>
      <c r="E29" s="175"/>
      <c r="F29" s="175"/>
      <c r="G29" s="175"/>
      <c r="H29" s="175"/>
      <c r="I29" s="175"/>
      <c r="J29" s="175"/>
      <c r="K29" s="175"/>
      <c r="L29" s="175"/>
      <c r="M29" s="175"/>
      <c r="N29" s="175"/>
      <c r="O29" s="175"/>
      <c r="P29" s="175"/>
    </row>
    <row r="30">
      <c r="A30" s="175"/>
      <c r="B30" s="175"/>
      <c r="C30" s="175"/>
      <c r="D30" s="175"/>
      <c r="E30" s="175"/>
      <c r="F30" s="175"/>
      <c r="G30" s="175"/>
      <c r="H30" s="175"/>
      <c r="I30" s="175"/>
      <c r="J30" s="175"/>
      <c r="K30" s="175"/>
      <c r="L30" s="175"/>
      <c r="M30" s="175"/>
      <c r="N30" s="175"/>
      <c r="O30" s="175"/>
      <c r="P30" s="175"/>
    </row>
    <row r="31">
      <c r="A31" s="175"/>
      <c r="B31" s="175"/>
      <c r="C31" s="175"/>
      <c r="D31" s="175"/>
      <c r="E31" s="175"/>
      <c r="F31" s="175"/>
      <c r="G31" s="175"/>
      <c r="H31" s="175"/>
      <c r="I31" s="175"/>
      <c r="J31" s="175"/>
      <c r="K31" s="175"/>
      <c r="L31" s="175"/>
      <c r="M31" s="175"/>
      <c r="N31" s="175"/>
      <c r="O31" s="175"/>
      <c r="P31" s="175"/>
    </row>
    <row r="32">
      <c r="A32" s="175"/>
      <c r="B32" s="175"/>
      <c r="C32" s="175"/>
      <c r="D32" s="175"/>
      <c r="E32" s="175"/>
      <c r="F32" s="175"/>
      <c r="G32" s="175"/>
      <c r="H32" s="175"/>
      <c r="I32" s="175"/>
      <c r="J32" s="175"/>
      <c r="K32" s="175"/>
      <c r="L32" s="175"/>
      <c r="M32" s="175"/>
      <c r="N32" s="175"/>
      <c r="O32" s="175"/>
      <c r="P32" s="175"/>
    </row>
    <row r="33">
      <c r="A33" s="175"/>
      <c r="B33" s="175"/>
      <c r="C33" s="175"/>
      <c r="D33" s="175"/>
      <c r="E33" s="175"/>
      <c r="F33" s="175"/>
      <c r="G33" s="175"/>
      <c r="H33" s="175"/>
      <c r="I33" s="175"/>
      <c r="J33" s="175"/>
      <c r="K33" s="175"/>
      <c r="L33" s="175"/>
      <c r="M33" s="175"/>
      <c r="N33" s="175"/>
      <c r="O33" s="175"/>
      <c r="P33" s="175"/>
    </row>
    <row r="34">
      <c r="A34" s="175"/>
      <c r="B34" s="175"/>
      <c r="C34" s="175"/>
      <c r="D34" s="175"/>
      <c r="E34" s="175"/>
      <c r="F34" s="175"/>
      <c r="G34" s="175"/>
      <c r="H34" s="175"/>
      <c r="I34" s="175"/>
      <c r="J34" s="175"/>
      <c r="K34" s="175"/>
      <c r="L34" s="175"/>
      <c r="M34" s="175"/>
      <c r="N34" s="175"/>
      <c r="O34" s="175"/>
      <c r="P34" s="175"/>
    </row>
    <row r="35">
      <c r="A35" s="175"/>
      <c r="B35" s="175"/>
      <c r="C35" s="175"/>
      <c r="D35" s="175"/>
      <c r="E35" s="175"/>
      <c r="F35" s="175"/>
      <c r="G35" s="175"/>
      <c r="H35" s="175"/>
      <c r="I35" s="175"/>
      <c r="J35" s="175"/>
      <c r="K35" s="175"/>
      <c r="L35" s="175"/>
      <c r="M35" s="175"/>
      <c r="N35" s="175"/>
      <c r="O35" s="175"/>
      <c r="P35" s="175"/>
    </row>
    <row r="36">
      <c r="A36" s="175"/>
      <c r="B36" s="175"/>
      <c r="C36" s="175"/>
      <c r="D36" s="175"/>
      <c r="E36" s="175"/>
      <c r="F36" s="175"/>
      <c r="G36" s="175"/>
      <c r="H36" s="175"/>
      <c r="I36" s="175"/>
      <c r="J36" s="175"/>
      <c r="K36" s="175"/>
      <c r="L36" s="175"/>
      <c r="M36" s="175"/>
      <c r="N36" s="175"/>
      <c r="O36" s="175"/>
      <c r="P36" s="175"/>
    </row>
    <row r="37">
      <c r="A37" s="175"/>
      <c r="B37" s="175"/>
      <c r="C37" s="175"/>
      <c r="D37" s="175"/>
      <c r="E37" s="175"/>
      <c r="F37" s="175"/>
      <c r="G37" s="175"/>
      <c r="H37" s="175"/>
      <c r="I37" s="175"/>
      <c r="J37" s="175"/>
      <c r="K37" s="175"/>
      <c r="L37" s="175"/>
      <c r="M37" s="175"/>
      <c r="N37" s="175"/>
      <c r="O37" s="175"/>
      <c r="P37" s="175"/>
    </row>
    <row r="38">
      <c r="A38" s="175"/>
      <c r="B38" s="175"/>
      <c r="C38" s="175"/>
      <c r="D38" s="175"/>
      <c r="E38" s="175"/>
      <c r="F38" s="175"/>
      <c r="G38" s="175"/>
      <c r="H38" s="175"/>
      <c r="I38" s="175"/>
      <c r="J38" s="175"/>
      <c r="K38" s="175"/>
      <c r="L38" s="175"/>
      <c r="M38" s="175"/>
      <c r="N38" s="175"/>
      <c r="O38" s="175"/>
      <c r="P38" s="175"/>
    </row>
    <row r="39">
      <c r="A39" s="175"/>
      <c r="B39" s="175"/>
      <c r="C39" s="175"/>
      <c r="D39" s="175"/>
      <c r="E39" s="175"/>
      <c r="F39" s="175"/>
      <c r="G39" s="175"/>
      <c r="H39" s="175"/>
      <c r="I39" s="175"/>
      <c r="J39" s="175"/>
      <c r="K39" s="175"/>
      <c r="L39" s="175"/>
      <c r="M39" s="175"/>
      <c r="N39" s="175"/>
      <c r="O39" s="175"/>
      <c r="P39" s="175"/>
    </row>
    <row r="40">
      <c r="A40" s="175"/>
      <c r="B40" s="175"/>
      <c r="C40" s="175"/>
      <c r="D40" s="175"/>
      <c r="E40" s="175"/>
      <c r="F40" s="175"/>
      <c r="G40" s="175"/>
      <c r="H40" s="175"/>
      <c r="I40" s="175"/>
      <c r="J40" s="175"/>
      <c r="K40" s="175"/>
      <c r="L40" s="175"/>
      <c r="M40" s="175"/>
      <c r="N40" s="175"/>
      <c r="O40" s="175"/>
      <c r="P40" s="175"/>
    </row>
    <row r="41">
      <c r="A41" s="175"/>
      <c r="B41" s="175"/>
      <c r="C41" s="175"/>
      <c r="D41" s="175"/>
      <c r="E41" s="175"/>
      <c r="F41" s="175"/>
      <c r="G41" s="175"/>
      <c r="H41" s="175"/>
      <c r="I41" s="175"/>
      <c r="J41" s="175"/>
      <c r="K41" s="175"/>
      <c r="L41" s="175"/>
      <c r="M41" s="175"/>
      <c r="N41" s="175"/>
      <c r="O41" s="175"/>
      <c r="P41" s="175"/>
    </row>
    <row r="42">
      <c r="A42" s="175"/>
      <c r="B42" s="175"/>
      <c r="C42" s="175"/>
      <c r="D42" s="175"/>
      <c r="E42" s="175"/>
      <c r="F42" s="175"/>
      <c r="G42" s="175"/>
      <c r="H42" s="175"/>
      <c r="I42" s="175"/>
      <c r="J42" s="175"/>
      <c r="K42" s="175"/>
      <c r="L42" s="175"/>
      <c r="M42" s="175"/>
      <c r="N42" s="175"/>
      <c r="O42" s="175"/>
      <c r="P42" s="175"/>
    </row>
    <row r="43">
      <c r="A43" s="175"/>
      <c r="B43" s="175"/>
      <c r="C43" s="175"/>
      <c r="D43" s="175"/>
      <c r="E43" s="175"/>
      <c r="F43" s="175"/>
      <c r="G43" s="175"/>
      <c r="H43" s="175"/>
      <c r="I43" s="175"/>
      <c r="J43" s="175"/>
      <c r="K43" s="175"/>
      <c r="L43" s="175"/>
      <c r="M43" s="175"/>
      <c r="N43" s="175"/>
      <c r="O43" s="175"/>
      <c r="P43" s="175"/>
    </row>
    <row r="44">
      <c r="A44" s="175"/>
      <c r="B44" s="175"/>
      <c r="C44" s="175"/>
      <c r="D44" s="175"/>
      <c r="E44" s="175"/>
      <c r="F44" s="175"/>
      <c r="G44" s="175"/>
      <c r="H44" s="175"/>
      <c r="I44" s="175"/>
      <c r="J44" s="175"/>
      <c r="K44" s="175"/>
      <c r="L44" s="175"/>
      <c r="M44" s="175"/>
      <c r="N44" s="175"/>
      <c r="O44" s="175"/>
      <c r="P44" s="175"/>
    </row>
    <row r="45">
      <c r="A45" s="175"/>
      <c r="B45" s="175"/>
      <c r="C45" s="175"/>
      <c r="D45" s="175"/>
      <c r="E45" s="175"/>
      <c r="F45" s="175"/>
      <c r="G45" s="175"/>
      <c r="H45" s="175"/>
      <c r="I45" s="175"/>
      <c r="J45" s="175"/>
      <c r="K45" s="175"/>
      <c r="L45" s="175"/>
      <c r="M45" s="175"/>
      <c r="N45" s="175"/>
      <c r="O45" s="175"/>
      <c r="P45" s="175"/>
    </row>
    <row r="46">
      <c r="A46" s="175"/>
      <c r="B46" s="175"/>
      <c r="C46" s="175"/>
      <c r="D46" s="175"/>
      <c r="E46" s="175"/>
      <c r="F46" s="175"/>
      <c r="G46" s="175"/>
      <c r="H46" s="175"/>
      <c r="I46" s="175"/>
      <c r="J46" s="175"/>
      <c r="K46" s="175"/>
      <c r="L46" s="175"/>
      <c r="M46" s="175"/>
      <c r="N46" s="175"/>
      <c r="O46" s="175"/>
      <c r="P46" s="175"/>
    </row>
    <row r="47">
      <c r="A47" s="175"/>
      <c r="B47" s="175"/>
      <c r="C47" s="175"/>
      <c r="D47" s="175"/>
      <c r="E47" s="175"/>
      <c r="F47" s="175"/>
      <c r="G47" s="175"/>
      <c r="H47" s="175"/>
      <c r="I47" s="175"/>
      <c r="J47" s="175"/>
      <c r="K47" s="175"/>
      <c r="L47" s="175"/>
      <c r="M47" s="175"/>
      <c r="N47" s="175"/>
      <c r="O47" s="175"/>
      <c r="P47" s="175"/>
    </row>
    <row r="48">
      <c r="A48" s="175"/>
      <c r="B48" s="175"/>
      <c r="C48" s="175"/>
      <c r="D48" s="175"/>
      <c r="E48" s="175"/>
      <c r="F48" s="175"/>
      <c r="G48" s="175"/>
      <c r="H48" s="175"/>
      <c r="I48" s="175"/>
      <c r="J48" s="175"/>
      <c r="K48" s="175"/>
      <c r="L48" s="175"/>
      <c r="M48" s="175"/>
      <c r="N48" s="175"/>
      <c r="O48" s="175"/>
      <c r="P48" s="175"/>
    </row>
    <row r="49">
      <c r="A49" s="175"/>
      <c r="B49" s="175"/>
      <c r="C49" s="175"/>
      <c r="D49" s="175"/>
      <c r="E49" s="175"/>
      <c r="F49" s="175"/>
      <c r="G49" s="175"/>
      <c r="H49" s="175"/>
      <c r="I49" s="175"/>
      <c r="J49" s="175"/>
      <c r="K49" s="175"/>
      <c r="L49" s="175"/>
      <c r="M49" s="175"/>
      <c r="N49" s="175"/>
      <c r="O49" s="175"/>
      <c r="P49" s="175"/>
    </row>
    <row r="50">
      <c r="A50" s="175"/>
      <c r="B50" s="175"/>
      <c r="C50" s="175"/>
      <c r="D50" s="175"/>
      <c r="E50" s="175"/>
      <c r="F50" s="175"/>
      <c r="G50" s="175"/>
      <c r="H50" s="175"/>
      <c r="I50" s="175"/>
      <c r="J50" s="175"/>
      <c r="K50" s="175"/>
      <c r="L50" s="175"/>
      <c r="M50" s="175"/>
      <c r="N50" s="175"/>
      <c r="O50" s="175"/>
      <c r="P50" s="175"/>
    </row>
    <row r="51">
      <c r="A51" s="175"/>
      <c r="B51" s="175"/>
      <c r="C51" s="175"/>
      <c r="D51" s="175"/>
      <c r="E51" s="175"/>
      <c r="F51" s="175"/>
      <c r="G51" s="175"/>
      <c r="H51" s="175"/>
      <c r="I51" s="175"/>
      <c r="J51" s="175"/>
      <c r="K51" s="175"/>
      <c r="L51" s="175"/>
      <c r="M51" s="175"/>
      <c r="N51" s="175"/>
      <c r="O51" s="175"/>
      <c r="P51" s="175"/>
    </row>
    <row r="52">
      <c r="A52" s="175"/>
      <c r="B52" s="175"/>
      <c r="C52" s="175"/>
      <c r="D52" s="175"/>
      <c r="E52" s="175"/>
      <c r="F52" s="175"/>
      <c r="G52" s="175"/>
      <c r="H52" s="175"/>
      <c r="I52" s="175"/>
      <c r="J52" s="175"/>
      <c r="K52" s="175"/>
      <c r="L52" s="175"/>
      <c r="M52" s="175"/>
      <c r="N52" s="175"/>
      <c r="O52" s="175"/>
      <c r="P52" s="175"/>
    </row>
    <row r="53">
      <c r="A53" s="175"/>
      <c r="B53" s="175"/>
      <c r="C53" s="175"/>
      <c r="D53" s="175"/>
      <c r="E53" s="175"/>
      <c r="F53" s="175"/>
      <c r="G53" s="175"/>
      <c r="H53" s="175"/>
      <c r="I53" s="175"/>
      <c r="J53" s="175"/>
      <c r="K53" s="175"/>
      <c r="L53" s="175"/>
      <c r="M53" s="175"/>
      <c r="N53" s="175"/>
      <c r="O53" s="175"/>
      <c r="P53" s="175"/>
    </row>
    <row r="54">
      <c r="A54" s="175"/>
      <c r="B54" s="175"/>
      <c r="C54" s="175"/>
      <c r="D54" s="175"/>
      <c r="E54" s="175"/>
      <c r="F54" s="175"/>
      <c r="G54" s="175"/>
      <c r="H54" s="175"/>
      <c r="I54" s="175"/>
      <c r="J54" s="175"/>
      <c r="K54" s="175"/>
      <c r="L54" s="175"/>
      <c r="M54" s="175"/>
      <c r="N54" s="175"/>
      <c r="O54" s="175"/>
      <c r="P54" s="175"/>
    </row>
    <row r="55">
      <c r="A55" s="175"/>
      <c r="B55" s="175"/>
      <c r="C55" s="175"/>
      <c r="D55" s="175"/>
      <c r="E55" s="175"/>
      <c r="F55" s="175"/>
      <c r="G55" s="175"/>
      <c r="H55" s="175"/>
      <c r="I55" s="175"/>
      <c r="J55" s="175"/>
      <c r="K55" s="175"/>
      <c r="L55" s="175"/>
      <c r="M55" s="175"/>
      <c r="N55" s="175"/>
      <c r="O55" s="175"/>
      <c r="P55" s="175"/>
    </row>
    <row r="56">
      <c r="A56" s="175"/>
      <c r="B56" s="175"/>
      <c r="C56" s="175"/>
      <c r="D56" s="175"/>
      <c r="E56" s="175"/>
      <c r="F56" s="175"/>
      <c r="G56" s="175"/>
      <c r="H56" s="175"/>
      <c r="I56" s="175"/>
      <c r="J56" s="175"/>
      <c r="K56" s="175"/>
      <c r="L56" s="175"/>
      <c r="M56" s="175"/>
      <c r="N56" s="175"/>
      <c r="O56" s="175"/>
      <c r="P56" s="175"/>
    </row>
    <row r="57">
      <c r="A57" s="175"/>
      <c r="B57" s="175"/>
      <c r="C57" s="175"/>
      <c r="D57" s="175"/>
      <c r="E57" s="175"/>
      <c r="F57" s="175"/>
      <c r="G57" s="175"/>
      <c r="H57" s="175"/>
      <c r="I57" s="175"/>
      <c r="J57" s="175"/>
      <c r="K57" s="175"/>
      <c r="L57" s="175"/>
      <c r="M57" s="175"/>
      <c r="N57" s="175"/>
      <c r="O57" s="175"/>
      <c r="P57" s="175"/>
    </row>
    <row r="58">
      <c r="A58" s="175"/>
      <c r="B58" s="175"/>
      <c r="C58" s="175"/>
      <c r="D58" s="175"/>
      <c r="E58" s="175"/>
      <c r="F58" s="175"/>
      <c r="G58" s="175"/>
      <c r="H58" s="175"/>
      <c r="I58" s="175"/>
      <c r="J58" s="175"/>
      <c r="K58" s="175"/>
      <c r="L58" s="175"/>
      <c r="M58" s="175"/>
      <c r="N58" s="175"/>
      <c r="O58" s="175"/>
      <c r="P58" s="175"/>
    </row>
    <row r="59">
      <c r="A59" s="175"/>
      <c r="B59" s="175"/>
      <c r="C59" s="175"/>
      <c r="D59" s="175"/>
      <c r="E59" s="175"/>
      <c r="F59" s="175"/>
      <c r="G59" s="175"/>
      <c r="H59" s="175"/>
      <c r="I59" s="175"/>
      <c r="J59" s="175"/>
      <c r="K59" s="175"/>
      <c r="L59" s="175"/>
      <c r="M59" s="175"/>
      <c r="N59" s="175"/>
      <c r="O59" s="175"/>
      <c r="P59" s="175"/>
    </row>
    <row r="60">
      <c r="A60" s="175"/>
      <c r="B60" s="175"/>
      <c r="C60" s="175"/>
      <c r="D60" s="175"/>
      <c r="E60" s="175"/>
      <c r="F60" s="175"/>
      <c r="G60" s="175"/>
      <c r="H60" s="175"/>
      <c r="I60" s="175"/>
      <c r="J60" s="175"/>
      <c r="K60" s="175"/>
      <c r="L60" s="175"/>
      <c r="M60" s="175"/>
      <c r="N60" s="175"/>
      <c r="O60" s="175"/>
      <c r="P60" s="175"/>
    </row>
    <row r="61">
      <c r="A61" s="175"/>
      <c r="B61" s="175"/>
      <c r="C61" s="175"/>
      <c r="D61" s="175"/>
      <c r="E61" s="175"/>
      <c r="F61" s="175"/>
      <c r="G61" s="175"/>
      <c r="H61" s="175"/>
      <c r="I61" s="175"/>
      <c r="J61" s="175"/>
      <c r="K61" s="175"/>
      <c r="L61" s="175"/>
      <c r="M61" s="175"/>
      <c r="N61" s="175"/>
      <c r="O61" s="175"/>
      <c r="P61" s="175"/>
    </row>
    <row r="62">
      <c r="A62" s="175"/>
      <c r="B62" s="175"/>
      <c r="C62" s="175"/>
      <c r="D62" s="175"/>
      <c r="E62" s="175"/>
      <c r="F62" s="175"/>
      <c r="G62" s="175"/>
      <c r="H62" s="175"/>
      <c r="I62" s="175"/>
      <c r="J62" s="175"/>
      <c r="K62" s="175"/>
      <c r="L62" s="175"/>
      <c r="M62" s="175"/>
      <c r="N62" s="175"/>
      <c r="O62" s="175"/>
      <c r="P62" s="175"/>
    </row>
    <row r="63">
      <c r="A63" s="175"/>
      <c r="B63" s="175"/>
      <c r="C63" s="175"/>
      <c r="D63" s="175"/>
      <c r="E63" s="175"/>
      <c r="F63" s="175"/>
      <c r="G63" s="175"/>
      <c r="H63" s="175"/>
      <c r="I63" s="175"/>
      <c r="J63" s="175"/>
      <c r="K63" s="175"/>
      <c r="L63" s="175"/>
      <c r="M63" s="175"/>
      <c r="N63" s="175"/>
      <c r="O63" s="175"/>
      <c r="P63" s="175"/>
    </row>
    <row r="64">
      <c r="A64" s="175"/>
      <c r="B64" s="175"/>
      <c r="C64" s="175"/>
      <c r="D64" s="175"/>
      <c r="E64" s="175"/>
      <c r="F64" s="175"/>
      <c r="G64" s="175"/>
      <c r="H64" s="175"/>
      <c r="I64" s="175"/>
      <c r="J64" s="175"/>
      <c r="K64" s="175"/>
      <c r="L64" s="175"/>
      <c r="M64" s="175"/>
      <c r="N64" s="175"/>
      <c r="O64" s="175"/>
      <c r="P64" s="175"/>
    </row>
    <row r="65">
      <c r="A65" s="175"/>
      <c r="B65" s="175"/>
      <c r="C65" s="175"/>
      <c r="D65" s="175"/>
      <c r="E65" s="175"/>
      <c r="F65" s="175"/>
      <c r="G65" s="175"/>
      <c r="H65" s="175"/>
      <c r="I65" s="175"/>
      <c r="J65" s="175"/>
      <c r="K65" s="175"/>
      <c r="L65" s="175"/>
      <c r="M65" s="175"/>
      <c r="N65" s="175"/>
      <c r="O65" s="175"/>
      <c r="P65" s="175"/>
    </row>
    <row r="66">
      <c r="A66" s="175"/>
      <c r="B66" s="175"/>
      <c r="C66" s="175"/>
      <c r="D66" s="175"/>
      <c r="E66" s="175"/>
      <c r="F66" s="175"/>
      <c r="G66" s="175"/>
      <c r="H66" s="175"/>
      <c r="I66" s="175"/>
      <c r="J66" s="175"/>
      <c r="K66" s="175"/>
      <c r="L66" s="175"/>
      <c r="M66" s="175"/>
      <c r="N66" s="175"/>
      <c r="O66" s="175"/>
      <c r="P66" s="175"/>
    </row>
    <row r="67">
      <c r="A67" s="175"/>
      <c r="B67" s="175"/>
      <c r="C67" s="175"/>
      <c r="D67" s="175"/>
      <c r="E67" s="175"/>
      <c r="F67" s="175"/>
      <c r="G67" s="175"/>
      <c r="H67" s="175"/>
      <c r="I67" s="175"/>
      <c r="J67" s="175"/>
      <c r="K67" s="175"/>
      <c r="L67" s="175"/>
      <c r="M67" s="175"/>
      <c r="N67" s="175"/>
      <c r="O67" s="175"/>
      <c r="P67" s="175"/>
    </row>
    <row r="68">
      <c r="A68" s="175"/>
      <c r="B68" s="175"/>
      <c r="C68" s="175"/>
      <c r="D68" s="175"/>
      <c r="E68" s="175"/>
      <c r="F68" s="175"/>
      <c r="G68" s="175"/>
      <c r="H68" s="175"/>
      <c r="I68" s="175"/>
      <c r="J68" s="175"/>
      <c r="K68" s="175"/>
      <c r="L68" s="175"/>
      <c r="M68" s="175"/>
      <c r="N68" s="175"/>
      <c r="O68" s="175"/>
      <c r="P68" s="175"/>
    </row>
    <row r="69">
      <c r="A69" s="175"/>
      <c r="B69" s="175"/>
      <c r="C69" s="175"/>
      <c r="D69" s="175"/>
      <c r="E69" s="175"/>
      <c r="F69" s="175"/>
      <c r="G69" s="175"/>
      <c r="H69" s="175"/>
      <c r="I69" s="175"/>
      <c r="J69" s="175"/>
      <c r="K69" s="175"/>
      <c r="L69" s="175"/>
      <c r="M69" s="175"/>
      <c r="N69" s="175"/>
      <c r="O69" s="175"/>
      <c r="P69" s="175"/>
    </row>
    <row r="70">
      <c r="A70" s="175"/>
      <c r="B70" s="175"/>
      <c r="C70" s="175"/>
      <c r="D70" s="175"/>
      <c r="E70" s="175"/>
      <c r="F70" s="175"/>
      <c r="G70" s="175"/>
      <c r="H70" s="175"/>
      <c r="I70" s="175"/>
      <c r="J70" s="175"/>
      <c r="K70" s="175"/>
      <c r="L70" s="175"/>
      <c r="M70" s="175"/>
      <c r="N70" s="175"/>
      <c r="O70" s="175"/>
      <c r="P70" s="175"/>
    </row>
    <row r="71">
      <c r="A71" s="175"/>
      <c r="B71" s="175"/>
      <c r="C71" s="175"/>
      <c r="D71" s="175"/>
      <c r="E71" s="175"/>
      <c r="F71" s="175"/>
      <c r="G71" s="175"/>
      <c r="H71" s="175"/>
      <c r="I71" s="175"/>
      <c r="J71" s="175"/>
      <c r="K71" s="175"/>
      <c r="L71" s="175"/>
      <c r="M71" s="175"/>
      <c r="N71" s="175"/>
      <c r="O71" s="175"/>
      <c r="P71" s="175"/>
    </row>
    <row r="72">
      <c r="A72" s="175"/>
      <c r="B72" s="175"/>
      <c r="C72" s="175"/>
      <c r="D72" s="175"/>
      <c r="E72" s="175"/>
      <c r="F72" s="175"/>
      <c r="G72" s="175"/>
      <c r="H72" s="175"/>
      <c r="I72" s="175"/>
      <c r="J72" s="175"/>
      <c r="K72" s="175"/>
      <c r="L72" s="175"/>
      <c r="M72" s="175"/>
      <c r="N72" s="175"/>
      <c r="O72" s="175"/>
      <c r="P72" s="175"/>
    </row>
    <row r="73">
      <c r="A73" s="175"/>
      <c r="B73" s="175"/>
      <c r="C73" s="175"/>
      <c r="D73" s="175"/>
      <c r="E73" s="175"/>
      <c r="F73" s="175"/>
      <c r="G73" s="175"/>
      <c r="H73" s="175"/>
      <c r="I73" s="175"/>
      <c r="J73" s="175"/>
      <c r="K73" s="175"/>
      <c r="L73" s="175"/>
      <c r="M73" s="175"/>
      <c r="N73" s="175"/>
      <c r="O73" s="175"/>
      <c r="P73" s="175"/>
    </row>
    <row r="74">
      <c r="A74" s="175"/>
      <c r="B74" s="175"/>
      <c r="C74" s="175"/>
      <c r="D74" s="175"/>
      <c r="E74" s="175"/>
      <c r="F74" s="175"/>
      <c r="G74" s="175"/>
      <c r="H74" s="175"/>
      <c r="I74" s="175"/>
      <c r="J74" s="175"/>
      <c r="K74" s="175"/>
      <c r="L74" s="175"/>
      <c r="M74" s="175"/>
      <c r="N74" s="175"/>
      <c r="O74" s="175"/>
      <c r="P74" s="175"/>
    </row>
    <row r="75">
      <c r="A75" s="175"/>
      <c r="B75" s="175"/>
      <c r="C75" s="175"/>
      <c r="D75" s="175"/>
      <c r="E75" s="175"/>
      <c r="F75" s="175"/>
      <c r="G75" s="175"/>
      <c r="H75" s="175"/>
      <c r="I75" s="175"/>
      <c r="J75" s="175"/>
      <c r="K75" s="175"/>
      <c r="L75" s="175"/>
      <c r="M75" s="175"/>
      <c r="N75" s="175"/>
      <c r="O75" s="175"/>
      <c r="P75" s="175"/>
    </row>
    <row r="76">
      <c r="A76" s="175"/>
      <c r="B76" s="175"/>
      <c r="C76" s="175"/>
      <c r="D76" s="175"/>
      <c r="E76" s="175"/>
      <c r="F76" s="175"/>
      <c r="G76" s="175"/>
      <c r="H76" s="175"/>
      <c r="I76" s="175"/>
      <c r="J76" s="175"/>
      <c r="K76" s="175"/>
      <c r="L76" s="175"/>
      <c r="M76" s="175"/>
      <c r="N76" s="175"/>
      <c r="O76" s="175"/>
      <c r="P76" s="175"/>
    </row>
    <row r="77">
      <c r="A77" s="175"/>
      <c r="B77" s="175"/>
      <c r="C77" s="175"/>
      <c r="D77" s="175"/>
      <c r="E77" s="175"/>
      <c r="F77" s="175"/>
      <c r="G77" s="175"/>
      <c r="H77" s="175"/>
      <c r="I77" s="175"/>
      <c r="J77" s="175"/>
      <c r="K77" s="175"/>
      <c r="L77" s="175"/>
      <c r="M77" s="175"/>
      <c r="N77" s="175"/>
      <c r="O77" s="175"/>
      <c r="P77" s="175"/>
    </row>
    <row r="78">
      <c r="A78" s="175"/>
      <c r="B78" s="175"/>
      <c r="C78" s="175"/>
      <c r="D78" s="175"/>
      <c r="E78" s="175"/>
      <c r="F78" s="175"/>
      <c r="G78" s="175"/>
      <c r="H78" s="175"/>
      <c r="I78" s="175"/>
      <c r="J78" s="175"/>
      <c r="K78" s="175"/>
      <c r="L78" s="175"/>
      <c r="M78" s="175"/>
      <c r="N78" s="175"/>
      <c r="O78" s="175"/>
      <c r="P78" s="175"/>
    </row>
    <row r="79">
      <c r="A79" s="175"/>
      <c r="B79" s="175"/>
      <c r="C79" s="175"/>
      <c r="D79" s="175"/>
      <c r="E79" s="175"/>
      <c r="F79" s="175"/>
      <c r="G79" s="175"/>
      <c r="H79" s="175"/>
      <c r="I79" s="175"/>
      <c r="J79" s="175"/>
      <c r="K79" s="175"/>
      <c r="L79" s="175"/>
      <c r="M79" s="175"/>
      <c r="N79" s="175"/>
      <c r="O79" s="175"/>
      <c r="P79" s="175"/>
    </row>
    <row r="80">
      <c r="A80" s="175"/>
      <c r="B80" s="175"/>
      <c r="C80" s="175"/>
      <c r="D80" s="175"/>
      <c r="E80" s="175"/>
      <c r="F80" s="175"/>
      <c r="G80" s="175"/>
      <c r="H80" s="175"/>
      <c r="I80" s="175"/>
      <c r="J80" s="175"/>
      <c r="K80" s="175"/>
      <c r="L80" s="175"/>
      <c r="M80" s="175"/>
      <c r="N80" s="175"/>
      <c r="O80" s="175"/>
      <c r="P80" s="175"/>
    </row>
    <row r="81">
      <c r="A81" s="175"/>
      <c r="B81" s="175"/>
      <c r="C81" s="175"/>
      <c r="D81" s="175"/>
      <c r="E81" s="175"/>
      <c r="F81" s="175"/>
      <c r="G81" s="175"/>
      <c r="H81" s="175"/>
      <c r="I81" s="175"/>
      <c r="J81" s="175"/>
      <c r="K81" s="175"/>
      <c r="L81" s="175"/>
      <c r="M81" s="175"/>
      <c r="N81" s="175"/>
      <c r="O81" s="175"/>
      <c r="P81" s="175"/>
    </row>
    <row r="82">
      <c r="A82" s="175"/>
      <c r="B82" s="175"/>
      <c r="C82" s="175"/>
      <c r="D82" s="175"/>
      <c r="E82" s="175"/>
      <c r="F82" s="175"/>
      <c r="G82" s="175"/>
      <c r="H82" s="175"/>
      <c r="I82" s="175"/>
      <c r="J82" s="175"/>
      <c r="K82" s="175"/>
      <c r="L82" s="175"/>
      <c r="M82" s="175"/>
      <c r="N82" s="175"/>
      <c r="O82" s="175"/>
      <c r="P82" s="175"/>
    </row>
    <row r="83">
      <c r="A83" s="175"/>
      <c r="B83" s="175"/>
      <c r="C83" s="175"/>
      <c r="D83" s="175"/>
      <c r="E83" s="175"/>
      <c r="F83" s="175"/>
      <c r="G83" s="175"/>
      <c r="H83" s="175"/>
      <c r="I83" s="175"/>
      <c r="J83" s="175"/>
      <c r="K83" s="175"/>
      <c r="L83" s="175"/>
      <c r="M83" s="175"/>
      <c r="N83" s="175"/>
      <c r="O83" s="175"/>
      <c r="P83" s="175"/>
    </row>
    <row r="84">
      <c r="A84" s="175"/>
      <c r="B84" s="175"/>
      <c r="C84" s="175"/>
      <c r="D84" s="175"/>
      <c r="E84" s="175"/>
      <c r="F84" s="175"/>
      <c r="G84" s="175"/>
      <c r="H84" s="175"/>
      <c r="I84" s="175"/>
      <c r="J84" s="175"/>
      <c r="K84" s="175"/>
      <c r="L84" s="175"/>
      <c r="M84" s="175"/>
      <c r="N84" s="175"/>
      <c r="O84" s="175"/>
      <c r="P84" s="175"/>
    </row>
    <row r="85">
      <c r="A85" s="175"/>
      <c r="B85" s="175"/>
      <c r="C85" s="175"/>
      <c r="D85" s="175"/>
      <c r="E85" s="175"/>
      <c r="F85" s="175"/>
      <c r="G85" s="175"/>
      <c r="H85" s="175"/>
      <c r="I85" s="175"/>
      <c r="J85" s="175"/>
      <c r="K85" s="175"/>
      <c r="L85" s="175"/>
      <c r="M85" s="175"/>
      <c r="N85" s="175"/>
      <c r="O85" s="175"/>
      <c r="P85" s="175"/>
    </row>
    <row r="86">
      <c r="A86" s="175"/>
      <c r="B86" s="175"/>
      <c r="C86" s="175"/>
      <c r="D86" s="175"/>
      <c r="E86" s="175"/>
      <c r="F86" s="175"/>
      <c r="G86" s="175"/>
      <c r="H86" s="175"/>
      <c r="I86" s="175"/>
      <c r="J86" s="175"/>
      <c r="K86" s="175"/>
      <c r="L86" s="175"/>
      <c r="M86" s="175"/>
      <c r="N86" s="175"/>
      <c r="O86" s="175"/>
      <c r="P86" s="175"/>
    </row>
    <row r="87">
      <c r="A87" s="175"/>
      <c r="B87" s="175"/>
      <c r="C87" s="175"/>
      <c r="D87" s="175"/>
      <c r="E87" s="175"/>
      <c r="F87" s="175"/>
      <c r="G87" s="175"/>
      <c r="H87" s="175"/>
      <c r="I87" s="175"/>
      <c r="J87" s="175"/>
      <c r="K87" s="175"/>
      <c r="L87" s="175"/>
      <c r="M87" s="175"/>
      <c r="N87" s="175"/>
      <c r="O87" s="175"/>
      <c r="P87" s="175"/>
    </row>
    <row r="88">
      <c r="A88" s="175"/>
      <c r="B88" s="175"/>
      <c r="C88" s="175"/>
      <c r="D88" s="175"/>
      <c r="E88" s="175"/>
      <c r="F88" s="175"/>
      <c r="G88" s="175"/>
      <c r="H88" s="175"/>
      <c r="I88" s="175"/>
      <c r="J88" s="175"/>
      <c r="K88" s="175"/>
      <c r="L88" s="175"/>
      <c r="M88" s="175"/>
      <c r="N88" s="175"/>
      <c r="O88" s="175"/>
      <c r="P88" s="175"/>
    </row>
    <row r="89">
      <c r="A89" s="175"/>
      <c r="B89" s="175"/>
      <c r="C89" s="175"/>
      <c r="D89" s="175"/>
      <c r="E89" s="175"/>
      <c r="F89" s="175"/>
      <c r="G89" s="175"/>
      <c r="H89" s="175"/>
      <c r="I89" s="175"/>
      <c r="J89" s="175"/>
      <c r="K89" s="175"/>
      <c r="L89" s="175"/>
      <c r="M89" s="175"/>
      <c r="N89" s="175"/>
      <c r="O89" s="175"/>
      <c r="P89" s="175"/>
    </row>
    <row r="90">
      <c r="A90" s="175"/>
      <c r="B90" s="175"/>
      <c r="C90" s="175"/>
      <c r="D90" s="175"/>
      <c r="E90" s="175"/>
      <c r="F90" s="175"/>
      <c r="G90" s="175"/>
      <c r="H90" s="175"/>
      <c r="I90" s="175"/>
      <c r="J90" s="175"/>
      <c r="K90" s="175"/>
      <c r="L90" s="175"/>
      <c r="M90" s="175"/>
      <c r="N90" s="175"/>
      <c r="O90" s="175"/>
      <c r="P90" s="175"/>
    </row>
    <row r="91">
      <c r="A91" s="175"/>
      <c r="B91" s="175"/>
      <c r="C91" s="175"/>
      <c r="D91" s="175"/>
      <c r="E91" s="175"/>
      <c r="F91" s="175"/>
      <c r="G91" s="175"/>
      <c r="H91" s="175"/>
      <c r="I91" s="175"/>
      <c r="J91" s="175"/>
      <c r="K91" s="175"/>
      <c r="L91" s="175"/>
      <c r="M91" s="175"/>
      <c r="N91" s="175"/>
      <c r="O91" s="175"/>
      <c r="P91" s="175"/>
    </row>
    <row r="92">
      <c r="A92" s="175"/>
      <c r="B92" s="175"/>
      <c r="C92" s="175"/>
      <c r="D92" s="175"/>
      <c r="E92" s="175"/>
      <c r="F92" s="175"/>
      <c r="G92" s="175"/>
      <c r="H92" s="175"/>
      <c r="I92" s="175"/>
      <c r="J92" s="175"/>
      <c r="K92" s="175"/>
      <c r="L92" s="175"/>
      <c r="M92" s="175"/>
      <c r="N92" s="175"/>
      <c r="O92" s="175"/>
      <c r="P92" s="175"/>
    </row>
    <row r="93">
      <c r="A93" s="175"/>
      <c r="B93" s="175"/>
      <c r="C93" s="175"/>
      <c r="D93" s="175"/>
      <c r="E93" s="175"/>
      <c r="F93" s="175"/>
      <c r="G93" s="175"/>
      <c r="H93" s="175"/>
      <c r="I93" s="175"/>
      <c r="J93" s="175"/>
      <c r="K93" s="175"/>
      <c r="L93" s="175"/>
      <c r="M93" s="175"/>
      <c r="N93" s="175"/>
      <c r="O93" s="175"/>
      <c r="P93" s="175"/>
    </row>
    <row r="94">
      <c r="A94" s="175"/>
      <c r="B94" s="175"/>
      <c r="C94" s="175"/>
      <c r="D94" s="175"/>
      <c r="E94" s="175"/>
      <c r="F94" s="175"/>
      <c r="G94" s="175"/>
      <c r="H94" s="175"/>
      <c r="I94" s="175"/>
      <c r="J94" s="175"/>
      <c r="K94" s="175"/>
      <c r="L94" s="175"/>
      <c r="M94" s="175"/>
      <c r="N94" s="175"/>
      <c r="O94" s="175"/>
      <c r="P94" s="175"/>
    </row>
    <row r="95">
      <c r="A95" s="175"/>
      <c r="B95" s="175"/>
      <c r="C95" s="175"/>
      <c r="D95" s="175"/>
      <c r="E95" s="175"/>
      <c r="F95" s="175"/>
      <c r="G95" s="175"/>
      <c r="H95" s="175"/>
      <c r="I95" s="175"/>
      <c r="J95" s="175"/>
      <c r="K95" s="175"/>
      <c r="L95" s="175"/>
      <c r="M95" s="175"/>
      <c r="N95" s="175"/>
      <c r="O95" s="175"/>
      <c r="P95" s="175"/>
    </row>
    <row r="96">
      <c r="A96" s="175"/>
      <c r="B96" s="175"/>
      <c r="C96" s="175"/>
      <c r="D96" s="175"/>
      <c r="E96" s="175"/>
      <c r="F96" s="175"/>
      <c r="G96" s="175"/>
      <c r="H96" s="175"/>
      <c r="I96" s="175"/>
      <c r="J96" s="175"/>
      <c r="K96" s="175"/>
      <c r="L96" s="175"/>
      <c r="M96" s="175"/>
      <c r="N96" s="175"/>
      <c r="O96" s="175"/>
      <c r="P96" s="175"/>
    </row>
    <row r="97">
      <c r="A97" s="175"/>
      <c r="B97" s="175"/>
      <c r="C97" s="175"/>
      <c r="D97" s="175"/>
      <c r="E97" s="175"/>
      <c r="F97" s="175"/>
      <c r="G97" s="175"/>
      <c r="H97" s="175"/>
      <c r="I97" s="175"/>
      <c r="J97" s="175"/>
      <c r="K97" s="175"/>
      <c r="L97" s="175"/>
      <c r="M97" s="175"/>
      <c r="N97" s="175"/>
      <c r="O97" s="175"/>
      <c r="P97" s="175"/>
    </row>
    <row r="98">
      <c r="A98" s="175"/>
      <c r="B98" s="175"/>
      <c r="C98" s="175"/>
      <c r="D98" s="175"/>
      <c r="E98" s="175"/>
      <c r="F98" s="175"/>
      <c r="G98" s="175"/>
      <c r="H98" s="175"/>
      <c r="I98" s="175"/>
      <c r="J98" s="175"/>
      <c r="K98" s="175"/>
      <c r="L98" s="175"/>
      <c r="M98" s="175"/>
      <c r="N98" s="175"/>
      <c r="O98" s="175"/>
      <c r="P98" s="175"/>
    </row>
    <row r="99">
      <c r="A99" s="175"/>
      <c r="B99" s="175"/>
      <c r="C99" s="175"/>
      <c r="D99" s="175"/>
      <c r="E99" s="175"/>
      <c r="F99" s="175"/>
      <c r="G99" s="175"/>
      <c r="H99" s="175"/>
      <c r="I99" s="175"/>
      <c r="J99" s="175"/>
      <c r="K99" s="175"/>
      <c r="L99" s="175"/>
      <c r="M99" s="175"/>
      <c r="N99" s="175"/>
      <c r="O99" s="175"/>
      <c r="P99" s="175"/>
    </row>
    <row r="100">
      <c r="A100" s="175"/>
      <c r="B100" s="175"/>
      <c r="C100" s="175"/>
      <c r="D100" s="175"/>
      <c r="E100" s="175"/>
      <c r="F100" s="175"/>
      <c r="G100" s="175"/>
      <c r="H100" s="175"/>
      <c r="I100" s="175"/>
      <c r="J100" s="175"/>
      <c r="K100" s="175"/>
      <c r="L100" s="175"/>
      <c r="M100" s="175"/>
      <c r="N100" s="175"/>
      <c r="O100" s="175"/>
      <c r="P100" s="175"/>
    </row>
    <row r="101">
      <c r="A101" s="175"/>
      <c r="B101" s="175"/>
      <c r="C101" s="175"/>
      <c r="D101" s="175"/>
      <c r="E101" s="175"/>
      <c r="F101" s="175"/>
      <c r="G101" s="175"/>
      <c r="H101" s="175"/>
      <c r="I101" s="175"/>
      <c r="J101" s="175"/>
      <c r="K101" s="175"/>
      <c r="L101" s="175"/>
      <c r="M101" s="175"/>
      <c r="N101" s="175"/>
      <c r="O101" s="175"/>
      <c r="P101" s="175"/>
    </row>
    <row r="102">
      <c r="A102" s="175"/>
      <c r="B102" s="175"/>
      <c r="C102" s="175"/>
      <c r="D102" s="175"/>
      <c r="E102" s="175"/>
      <c r="F102" s="175"/>
      <c r="G102" s="175"/>
      <c r="H102" s="175"/>
      <c r="I102" s="175"/>
      <c r="J102" s="175"/>
      <c r="K102" s="175"/>
      <c r="L102" s="175"/>
      <c r="M102" s="175"/>
      <c r="N102" s="175"/>
      <c r="O102" s="175"/>
      <c r="P102" s="175"/>
    </row>
    <row r="103">
      <c r="A103" s="175"/>
      <c r="B103" s="175"/>
      <c r="C103" s="175"/>
      <c r="D103" s="175"/>
      <c r="E103" s="175"/>
      <c r="F103" s="175"/>
      <c r="G103" s="175"/>
      <c r="H103" s="175"/>
      <c r="I103" s="175"/>
      <c r="J103" s="175"/>
      <c r="K103" s="175"/>
      <c r="L103" s="175"/>
      <c r="M103" s="175"/>
      <c r="N103" s="175"/>
      <c r="O103" s="175"/>
      <c r="P103" s="175"/>
    </row>
    <row r="104">
      <c r="A104" s="175"/>
      <c r="B104" s="175"/>
      <c r="C104" s="175"/>
      <c r="D104" s="175"/>
      <c r="E104" s="175"/>
      <c r="F104" s="175"/>
      <c r="G104" s="175"/>
      <c r="H104" s="175"/>
      <c r="I104" s="175"/>
      <c r="J104" s="175"/>
      <c r="K104" s="175"/>
      <c r="L104" s="175"/>
      <c r="M104" s="175"/>
      <c r="N104" s="175"/>
      <c r="O104" s="175"/>
      <c r="P104" s="175"/>
    </row>
    <row r="105">
      <c r="A105" s="175"/>
      <c r="B105" s="175"/>
      <c r="C105" s="175"/>
      <c r="D105" s="175"/>
      <c r="E105" s="175"/>
      <c r="F105" s="175"/>
      <c r="G105" s="175"/>
      <c r="H105" s="175"/>
      <c r="I105" s="175"/>
      <c r="J105" s="175"/>
      <c r="K105" s="175"/>
      <c r="L105" s="175"/>
      <c r="M105" s="175"/>
      <c r="N105" s="175"/>
      <c r="O105" s="175"/>
      <c r="P105" s="175"/>
    </row>
    <row r="106">
      <c r="A106" s="175"/>
      <c r="B106" s="175"/>
      <c r="C106" s="175"/>
      <c r="D106" s="175"/>
      <c r="E106" s="175"/>
      <c r="F106" s="175"/>
      <c r="G106" s="175"/>
      <c r="H106" s="175"/>
      <c r="I106" s="175"/>
      <c r="J106" s="175"/>
      <c r="K106" s="175"/>
      <c r="L106" s="175"/>
      <c r="M106" s="175"/>
      <c r="N106" s="175"/>
      <c r="O106" s="175"/>
      <c r="P106" s="175"/>
    </row>
    <row r="107">
      <c r="A107" s="175"/>
      <c r="B107" s="175"/>
      <c r="C107" s="175"/>
      <c r="D107" s="175"/>
      <c r="E107" s="175"/>
      <c r="F107" s="175"/>
      <c r="G107" s="175"/>
      <c r="H107" s="175"/>
      <c r="I107" s="175"/>
      <c r="J107" s="175"/>
      <c r="K107" s="175"/>
      <c r="L107" s="175"/>
      <c r="M107" s="175"/>
      <c r="N107" s="175"/>
      <c r="O107" s="175"/>
      <c r="P107" s="175"/>
    </row>
    <row r="108">
      <c r="A108" s="175"/>
      <c r="B108" s="175"/>
      <c r="C108" s="175"/>
      <c r="D108" s="175"/>
      <c r="E108" s="175"/>
      <c r="F108" s="175"/>
      <c r="G108" s="175"/>
      <c r="H108" s="175"/>
      <c r="I108" s="175"/>
      <c r="J108" s="175"/>
      <c r="K108" s="175"/>
      <c r="L108" s="175"/>
      <c r="M108" s="175"/>
      <c r="N108" s="175"/>
      <c r="O108" s="175"/>
      <c r="P108" s="175"/>
    </row>
    <row r="109">
      <c r="A109" s="175"/>
      <c r="B109" s="175"/>
      <c r="C109" s="175"/>
      <c r="D109" s="175"/>
      <c r="E109" s="175"/>
      <c r="F109" s="175"/>
      <c r="G109" s="175"/>
      <c r="H109" s="175"/>
      <c r="I109" s="175"/>
      <c r="J109" s="175"/>
      <c r="K109" s="175"/>
      <c r="L109" s="175"/>
      <c r="M109" s="175"/>
      <c r="N109" s="175"/>
      <c r="O109" s="175"/>
      <c r="P109" s="175"/>
    </row>
    <row r="110">
      <c r="A110" s="175"/>
      <c r="B110" s="175"/>
      <c r="C110" s="175"/>
      <c r="D110" s="175"/>
      <c r="E110" s="175"/>
      <c r="F110" s="175"/>
      <c r="G110" s="175"/>
      <c r="H110" s="175"/>
      <c r="I110" s="175"/>
      <c r="J110" s="175"/>
      <c r="K110" s="175"/>
      <c r="L110" s="175"/>
      <c r="M110" s="175"/>
      <c r="N110" s="175"/>
      <c r="O110" s="175"/>
      <c r="P110" s="175"/>
    </row>
    <row r="111">
      <c r="A111" s="175"/>
      <c r="B111" s="175"/>
      <c r="C111" s="175"/>
      <c r="D111" s="175"/>
      <c r="E111" s="175"/>
      <c r="F111" s="175"/>
      <c r="G111" s="175"/>
      <c r="H111" s="175"/>
      <c r="I111" s="175"/>
      <c r="J111" s="175"/>
      <c r="K111" s="175"/>
      <c r="L111" s="175"/>
      <c r="M111" s="175"/>
      <c r="N111" s="175"/>
      <c r="O111" s="175"/>
      <c r="P111" s="175"/>
    </row>
    <row r="112">
      <c r="A112" s="175"/>
      <c r="B112" s="175"/>
      <c r="C112" s="175"/>
      <c r="D112" s="175"/>
      <c r="E112" s="175"/>
      <c r="F112" s="175"/>
      <c r="G112" s="175"/>
      <c r="H112" s="175"/>
      <c r="I112" s="175"/>
      <c r="J112" s="175"/>
      <c r="K112" s="175"/>
      <c r="L112" s="175"/>
      <c r="M112" s="175"/>
      <c r="N112" s="175"/>
      <c r="O112" s="175"/>
      <c r="P112" s="175"/>
    </row>
    <row r="113">
      <c r="A113" s="175"/>
      <c r="B113" s="175"/>
      <c r="C113" s="175"/>
      <c r="D113" s="175"/>
      <c r="E113" s="175"/>
      <c r="F113" s="175"/>
      <c r="G113" s="175"/>
      <c r="H113" s="175"/>
      <c r="I113" s="175"/>
      <c r="J113" s="175"/>
      <c r="K113" s="175"/>
      <c r="L113" s="175"/>
      <c r="M113" s="175"/>
      <c r="N113" s="175"/>
      <c r="O113" s="175"/>
      <c r="P113" s="175"/>
    </row>
    <row r="114">
      <c r="A114" s="175"/>
      <c r="B114" s="175"/>
      <c r="C114" s="175"/>
      <c r="D114" s="175"/>
      <c r="E114" s="175"/>
      <c r="F114" s="175"/>
      <c r="G114" s="175"/>
      <c r="H114" s="175"/>
      <c r="I114" s="175"/>
      <c r="J114" s="175"/>
      <c r="K114" s="175"/>
      <c r="L114" s="175"/>
      <c r="M114" s="175"/>
      <c r="N114" s="175"/>
      <c r="O114" s="175"/>
      <c r="P114" s="175"/>
    </row>
    <row r="115">
      <c r="A115" s="175"/>
      <c r="B115" s="175"/>
      <c r="C115" s="175"/>
      <c r="D115" s="175"/>
      <c r="E115" s="175"/>
      <c r="F115" s="175"/>
      <c r="G115" s="175"/>
      <c r="H115" s="175"/>
      <c r="I115" s="175"/>
      <c r="J115" s="175"/>
      <c r="K115" s="175"/>
      <c r="L115" s="175"/>
      <c r="M115" s="175"/>
      <c r="N115" s="175"/>
      <c r="O115" s="175"/>
      <c r="P115" s="175"/>
    </row>
    <row r="116">
      <c r="A116" s="175"/>
      <c r="B116" s="175"/>
      <c r="C116" s="175"/>
      <c r="D116" s="175"/>
      <c r="E116" s="175"/>
      <c r="F116" s="175"/>
      <c r="G116" s="175"/>
      <c r="H116" s="175"/>
      <c r="I116" s="175"/>
      <c r="J116" s="175"/>
      <c r="K116" s="175"/>
      <c r="L116" s="175"/>
      <c r="M116" s="175"/>
      <c r="N116" s="175"/>
      <c r="O116" s="175"/>
      <c r="P116" s="175"/>
    </row>
    <row r="117">
      <c r="A117" s="175"/>
      <c r="B117" s="175"/>
      <c r="C117" s="175"/>
      <c r="D117" s="175"/>
      <c r="E117" s="175"/>
      <c r="F117" s="175"/>
      <c r="G117" s="175"/>
      <c r="H117" s="175"/>
      <c r="I117" s="175"/>
      <c r="J117" s="175"/>
      <c r="K117" s="175"/>
      <c r="L117" s="175"/>
      <c r="M117" s="175"/>
      <c r="N117" s="175"/>
      <c r="O117" s="175"/>
      <c r="P117" s="175"/>
    </row>
    <row r="118">
      <c r="A118" s="175"/>
      <c r="B118" s="175"/>
      <c r="C118" s="175"/>
      <c r="D118" s="175"/>
      <c r="E118" s="175"/>
      <c r="F118" s="175"/>
      <c r="G118" s="175"/>
      <c r="H118" s="175"/>
      <c r="I118" s="175"/>
      <c r="J118" s="175"/>
      <c r="K118" s="175"/>
      <c r="L118" s="175"/>
      <c r="M118" s="175"/>
      <c r="N118" s="175"/>
      <c r="O118" s="175"/>
      <c r="P118" s="175"/>
    </row>
    <row r="119">
      <c r="A119" s="175"/>
      <c r="B119" s="175"/>
      <c r="C119" s="175"/>
      <c r="D119" s="175"/>
      <c r="E119" s="175"/>
      <c r="F119" s="175"/>
      <c r="G119" s="175"/>
      <c r="H119" s="175"/>
      <c r="I119" s="175"/>
      <c r="J119" s="175"/>
      <c r="K119" s="175"/>
      <c r="L119" s="175"/>
      <c r="M119" s="175"/>
      <c r="N119" s="175"/>
      <c r="O119" s="175"/>
      <c r="P119" s="175"/>
    </row>
    <row r="120">
      <c r="A120" s="175"/>
      <c r="B120" s="175"/>
      <c r="C120" s="175"/>
      <c r="D120" s="175"/>
      <c r="E120" s="175"/>
      <c r="F120" s="175"/>
      <c r="G120" s="175"/>
      <c r="H120" s="175"/>
      <c r="I120" s="175"/>
      <c r="J120" s="175"/>
      <c r="K120" s="175"/>
      <c r="L120" s="175"/>
      <c r="M120" s="175"/>
      <c r="N120" s="175"/>
      <c r="O120" s="175"/>
      <c r="P120" s="175"/>
    </row>
    <row r="121">
      <c r="A121" s="175"/>
      <c r="B121" s="175"/>
      <c r="C121" s="175"/>
      <c r="D121" s="175"/>
      <c r="E121" s="175"/>
      <c r="F121" s="175"/>
      <c r="G121" s="175"/>
      <c r="H121" s="175"/>
      <c r="I121" s="175"/>
      <c r="J121" s="175"/>
      <c r="K121" s="175"/>
      <c r="L121" s="175"/>
      <c r="M121" s="175"/>
      <c r="N121" s="175"/>
      <c r="O121" s="175"/>
      <c r="P121" s="175"/>
    </row>
    <row r="122">
      <c r="A122" s="175"/>
      <c r="B122" s="175"/>
      <c r="C122" s="175"/>
      <c r="D122" s="175"/>
      <c r="E122" s="175"/>
      <c r="F122" s="175"/>
      <c r="G122" s="175"/>
      <c r="H122" s="175"/>
      <c r="I122" s="175"/>
      <c r="J122" s="175"/>
      <c r="K122" s="175"/>
      <c r="L122" s="175"/>
      <c r="M122" s="175"/>
      <c r="N122" s="175"/>
      <c r="O122" s="175"/>
      <c r="P122" s="175"/>
    </row>
    <row r="123">
      <c r="A123" s="175"/>
      <c r="B123" s="175"/>
      <c r="C123" s="175"/>
      <c r="D123" s="175"/>
      <c r="E123" s="175"/>
      <c r="F123" s="175"/>
      <c r="G123" s="175"/>
      <c r="H123" s="175"/>
      <c r="I123" s="175"/>
      <c r="J123" s="175"/>
      <c r="K123" s="175"/>
      <c r="L123" s="175"/>
      <c r="M123" s="175"/>
      <c r="N123" s="175"/>
      <c r="O123" s="175"/>
      <c r="P123" s="175"/>
    </row>
    <row r="124">
      <c r="A124" s="175"/>
      <c r="B124" s="175"/>
      <c r="C124" s="175"/>
      <c r="D124" s="175"/>
      <c r="E124" s="175"/>
      <c r="F124" s="175"/>
      <c r="G124" s="175"/>
      <c r="H124" s="175"/>
      <c r="I124" s="175"/>
      <c r="J124" s="175"/>
      <c r="K124" s="175"/>
      <c r="L124" s="175"/>
      <c r="M124" s="175"/>
      <c r="N124" s="175"/>
      <c r="O124" s="175"/>
      <c r="P124" s="175"/>
    </row>
    <row r="125">
      <c r="A125" s="175"/>
      <c r="B125" s="175"/>
      <c r="C125" s="175"/>
      <c r="D125" s="175"/>
      <c r="E125" s="175"/>
      <c r="F125" s="175"/>
      <c r="G125" s="175"/>
      <c r="H125" s="175"/>
      <c r="I125" s="175"/>
      <c r="J125" s="175"/>
      <c r="K125" s="175"/>
      <c r="L125" s="175"/>
      <c r="M125" s="175"/>
      <c r="N125" s="175"/>
      <c r="O125" s="175"/>
      <c r="P125" s="175"/>
    </row>
    <row r="126">
      <c r="A126" s="175"/>
      <c r="B126" s="175"/>
      <c r="C126" s="175"/>
      <c r="D126" s="175"/>
      <c r="E126" s="175"/>
      <c r="F126" s="175"/>
      <c r="G126" s="175"/>
      <c r="H126" s="175"/>
      <c r="I126" s="175"/>
      <c r="J126" s="175"/>
      <c r="K126" s="175"/>
      <c r="L126" s="175"/>
      <c r="M126" s="175"/>
      <c r="N126" s="175"/>
      <c r="O126" s="175"/>
      <c r="P126" s="175"/>
    </row>
    <row r="127">
      <c r="A127" s="175"/>
      <c r="B127" s="175"/>
      <c r="C127" s="175"/>
      <c r="D127" s="175"/>
      <c r="E127" s="175"/>
      <c r="F127" s="175"/>
      <c r="G127" s="175"/>
      <c r="H127" s="175"/>
      <c r="I127" s="175"/>
      <c r="J127" s="175"/>
      <c r="K127" s="175"/>
      <c r="L127" s="175"/>
      <c r="M127" s="175"/>
      <c r="N127" s="175"/>
      <c r="O127" s="175"/>
      <c r="P127" s="175"/>
    </row>
    <row r="128">
      <c r="A128" s="175"/>
      <c r="B128" s="175"/>
      <c r="C128" s="175"/>
      <c r="D128" s="175"/>
      <c r="E128" s="175"/>
      <c r="F128" s="175"/>
      <c r="G128" s="175"/>
      <c r="H128" s="175"/>
      <c r="I128" s="175"/>
      <c r="J128" s="175"/>
      <c r="K128" s="175"/>
      <c r="L128" s="175"/>
      <c r="M128" s="175"/>
      <c r="N128" s="175"/>
      <c r="O128" s="175"/>
      <c r="P128" s="175"/>
    </row>
    <row r="129">
      <c r="A129" s="175"/>
      <c r="B129" s="175"/>
      <c r="C129" s="175"/>
      <c r="D129" s="175"/>
      <c r="E129" s="175"/>
      <c r="F129" s="175"/>
      <c r="G129" s="175"/>
      <c r="H129" s="175"/>
      <c r="I129" s="175"/>
      <c r="J129" s="175"/>
      <c r="K129" s="175"/>
      <c r="L129" s="175"/>
      <c r="M129" s="175"/>
      <c r="N129" s="175"/>
      <c r="O129" s="175"/>
      <c r="P129" s="175"/>
    </row>
    <row r="130">
      <c r="A130" s="175"/>
      <c r="B130" s="175"/>
      <c r="C130" s="175"/>
      <c r="D130" s="175"/>
      <c r="E130" s="175"/>
      <c r="F130" s="175"/>
      <c r="G130" s="175"/>
      <c r="H130" s="175"/>
      <c r="I130" s="175"/>
      <c r="J130" s="175"/>
      <c r="K130" s="175"/>
      <c r="L130" s="175"/>
      <c r="M130" s="175"/>
      <c r="N130" s="175"/>
      <c r="O130" s="175"/>
      <c r="P130" s="175"/>
    </row>
    <row r="131">
      <c r="A131" s="175"/>
      <c r="B131" s="175"/>
      <c r="C131" s="175"/>
      <c r="D131" s="175"/>
      <c r="E131" s="175"/>
      <c r="F131" s="175"/>
      <c r="G131" s="175"/>
      <c r="H131" s="175"/>
      <c r="I131" s="175"/>
      <c r="J131" s="175"/>
      <c r="K131" s="175"/>
      <c r="L131" s="175"/>
      <c r="M131" s="175"/>
      <c r="N131" s="175"/>
      <c r="O131" s="175"/>
      <c r="P131" s="175"/>
    </row>
    <row r="132">
      <c r="A132" s="175"/>
      <c r="B132" s="175"/>
      <c r="C132" s="175"/>
      <c r="D132" s="175"/>
      <c r="E132" s="175"/>
      <c r="F132" s="175"/>
      <c r="G132" s="175"/>
      <c r="H132" s="175"/>
      <c r="I132" s="175"/>
      <c r="J132" s="175"/>
      <c r="K132" s="175"/>
      <c r="L132" s="175"/>
      <c r="M132" s="175"/>
      <c r="N132" s="175"/>
      <c r="O132" s="175"/>
      <c r="P132" s="175"/>
    </row>
    <row r="133">
      <c r="A133" s="175"/>
      <c r="B133" s="175"/>
      <c r="C133" s="175"/>
      <c r="D133" s="175"/>
      <c r="E133" s="175"/>
      <c r="F133" s="175"/>
      <c r="G133" s="175"/>
      <c r="H133" s="175"/>
      <c r="I133" s="175"/>
      <c r="J133" s="175"/>
      <c r="K133" s="175"/>
      <c r="L133" s="175"/>
      <c r="M133" s="175"/>
      <c r="N133" s="175"/>
      <c r="O133" s="175"/>
      <c r="P133" s="175"/>
    </row>
    <row r="134">
      <c r="A134" s="175"/>
      <c r="B134" s="175"/>
      <c r="C134" s="175"/>
      <c r="D134" s="175"/>
      <c r="E134" s="175"/>
      <c r="F134" s="175"/>
      <c r="G134" s="175"/>
      <c r="H134" s="175"/>
      <c r="I134" s="175"/>
      <c r="J134" s="175"/>
      <c r="K134" s="175"/>
      <c r="L134" s="175"/>
      <c r="M134" s="175"/>
      <c r="N134" s="175"/>
      <c r="O134" s="175"/>
      <c r="P134" s="175"/>
    </row>
    <row r="135">
      <c r="A135" s="175"/>
      <c r="B135" s="175"/>
      <c r="C135" s="175"/>
      <c r="D135" s="175"/>
      <c r="E135" s="175"/>
      <c r="F135" s="175"/>
      <c r="G135" s="175"/>
      <c r="H135" s="175"/>
      <c r="I135" s="175"/>
      <c r="J135" s="175"/>
      <c r="K135" s="175"/>
      <c r="L135" s="175"/>
      <c r="M135" s="175"/>
      <c r="N135" s="175"/>
      <c r="O135" s="175"/>
      <c r="P135" s="175"/>
    </row>
    <row r="136">
      <c r="A136" s="175"/>
      <c r="B136" s="175"/>
      <c r="C136" s="175"/>
      <c r="D136" s="175"/>
      <c r="E136" s="175"/>
      <c r="F136" s="175"/>
      <c r="G136" s="175"/>
      <c r="H136" s="175"/>
      <c r="I136" s="175"/>
      <c r="J136" s="175"/>
      <c r="K136" s="175"/>
      <c r="L136" s="175"/>
      <c r="M136" s="175"/>
      <c r="N136" s="175"/>
      <c r="O136" s="175"/>
      <c r="P136" s="175"/>
    </row>
    <row r="137">
      <c r="A137" s="175"/>
      <c r="B137" s="175"/>
      <c r="C137" s="175"/>
      <c r="D137" s="175"/>
      <c r="E137" s="175"/>
      <c r="F137" s="175"/>
      <c r="G137" s="175"/>
      <c r="H137" s="175"/>
      <c r="I137" s="175"/>
      <c r="J137" s="175"/>
      <c r="K137" s="175"/>
      <c r="L137" s="175"/>
      <c r="M137" s="175"/>
      <c r="N137" s="175"/>
      <c r="O137" s="175"/>
      <c r="P137" s="175"/>
    </row>
    <row r="138">
      <c r="A138" s="175"/>
      <c r="B138" s="175"/>
      <c r="C138" s="175"/>
      <c r="D138" s="175"/>
      <c r="E138" s="175"/>
      <c r="F138" s="175"/>
      <c r="G138" s="175"/>
      <c r="H138" s="175"/>
      <c r="I138" s="175"/>
      <c r="J138" s="175"/>
      <c r="K138" s="175"/>
      <c r="L138" s="175"/>
      <c r="M138" s="175"/>
      <c r="N138" s="175"/>
      <c r="O138" s="175"/>
      <c r="P138" s="175"/>
    </row>
    <row r="139">
      <c r="A139" s="175"/>
      <c r="B139" s="175"/>
      <c r="C139" s="175"/>
      <c r="D139" s="175"/>
      <c r="E139" s="175"/>
      <c r="F139" s="175"/>
      <c r="G139" s="175"/>
      <c r="H139" s="175"/>
      <c r="I139" s="175"/>
      <c r="J139" s="175"/>
      <c r="K139" s="175"/>
      <c r="L139" s="175"/>
      <c r="M139" s="175"/>
      <c r="N139" s="175"/>
      <c r="O139" s="175"/>
      <c r="P139" s="175"/>
    </row>
    <row r="140">
      <c r="A140" s="175"/>
      <c r="B140" s="175"/>
      <c r="C140" s="175"/>
      <c r="D140" s="175"/>
      <c r="E140" s="175"/>
      <c r="F140" s="175"/>
      <c r="G140" s="175"/>
      <c r="H140" s="175"/>
      <c r="I140" s="175"/>
      <c r="J140" s="175"/>
      <c r="K140" s="175"/>
      <c r="L140" s="175"/>
      <c r="M140" s="175"/>
      <c r="N140" s="175"/>
      <c r="O140" s="175"/>
      <c r="P140" s="175"/>
    </row>
    <row r="141">
      <c r="A141" s="175"/>
      <c r="B141" s="175"/>
      <c r="C141" s="175"/>
      <c r="D141" s="175"/>
      <c r="E141" s="175"/>
      <c r="F141" s="175"/>
      <c r="G141" s="175"/>
      <c r="H141" s="175"/>
      <c r="I141" s="175"/>
      <c r="J141" s="175"/>
      <c r="K141" s="175"/>
      <c r="L141" s="175"/>
      <c r="M141" s="175"/>
      <c r="N141" s="175"/>
      <c r="O141" s="175"/>
      <c r="P141" s="175"/>
    </row>
    <row r="142">
      <c r="A142" s="175"/>
      <c r="B142" s="175"/>
      <c r="C142" s="175"/>
      <c r="D142" s="175"/>
      <c r="E142" s="175"/>
      <c r="F142" s="175"/>
      <c r="G142" s="175"/>
      <c r="H142" s="175"/>
      <c r="I142" s="175"/>
      <c r="J142" s="175"/>
      <c r="K142" s="175"/>
      <c r="L142" s="175"/>
      <c r="M142" s="175"/>
      <c r="N142" s="175"/>
      <c r="O142" s="175"/>
      <c r="P142" s="175"/>
    </row>
    <row r="143">
      <c r="A143" s="175"/>
      <c r="B143" s="175"/>
      <c r="C143" s="175"/>
      <c r="D143" s="175"/>
      <c r="E143" s="175"/>
      <c r="F143" s="175"/>
      <c r="G143" s="175"/>
      <c r="H143" s="175"/>
      <c r="I143" s="175"/>
      <c r="J143" s="175"/>
      <c r="K143" s="175"/>
      <c r="L143" s="175"/>
      <c r="M143" s="175"/>
      <c r="N143" s="175"/>
      <c r="O143" s="175"/>
      <c r="P143" s="175"/>
    </row>
    <row r="144">
      <c r="A144" s="175"/>
      <c r="B144" s="175"/>
      <c r="C144" s="175"/>
      <c r="D144" s="175"/>
      <c r="E144" s="175"/>
      <c r="F144" s="175"/>
      <c r="G144" s="175"/>
      <c r="H144" s="175"/>
      <c r="I144" s="175"/>
      <c r="J144" s="175"/>
      <c r="K144" s="175"/>
      <c r="L144" s="175"/>
      <c r="M144" s="175"/>
      <c r="N144" s="175"/>
      <c r="O144" s="175"/>
      <c r="P144" s="175"/>
    </row>
    <row r="145">
      <c r="A145" s="175"/>
      <c r="B145" s="175"/>
      <c r="C145" s="175"/>
      <c r="D145" s="175"/>
      <c r="E145" s="175"/>
      <c r="F145" s="175"/>
      <c r="G145" s="175"/>
      <c r="H145" s="175"/>
      <c r="I145" s="175"/>
      <c r="J145" s="175"/>
      <c r="K145" s="175"/>
      <c r="L145" s="175"/>
      <c r="M145" s="175"/>
      <c r="N145" s="175"/>
      <c r="O145" s="175"/>
      <c r="P145" s="175"/>
    </row>
    <row r="146">
      <c r="A146" s="175"/>
      <c r="B146" s="175"/>
      <c r="C146" s="175"/>
      <c r="D146" s="175"/>
      <c r="E146" s="175"/>
      <c r="F146" s="175"/>
      <c r="G146" s="175"/>
      <c r="H146" s="175"/>
      <c r="I146" s="175"/>
      <c r="J146" s="175"/>
      <c r="K146" s="175"/>
      <c r="L146" s="175"/>
      <c r="M146" s="175"/>
      <c r="N146" s="175"/>
      <c r="O146" s="175"/>
      <c r="P146" s="175"/>
    </row>
    <row r="147">
      <c r="A147" s="175"/>
      <c r="B147" s="175"/>
      <c r="C147" s="175"/>
      <c r="D147" s="175"/>
      <c r="E147" s="175"/>
      <c r="F147" s="175"/>
      <c r="G147" s="175"/>
      <c r="H147" s="175"/>
      <c r="I147" s="175"/>
      <c r="J147" s="175"/>
      <c r="K147" s="175"/>
      <c r="L147" s="175"/>
      <c r="M147" s="175"/>
      <c r="N147" s="175"/>
      <c r="O147" s="175"/>
      <c r="P147" s="175"/>
    </row>
    <row r="148">
      <c r="A148" s="175"/>
      <c r="B148" s="175"/>
      <c r="C148" s="175"/>
      <c r="D148" s="175"/>
      <c r="E148" s="175"/>
      <c r="F148" s="175"/>
      <c r="G148" s="175"/>
      <c r="H148" s="175"/>
      <c r="I148" s="175"/>
      <c r="J148" s="175"/>
      <c r="K148" s="175"/>
      <c r="L148" s="175"/>
      <c r="M148" s="175"/>
      <c r="N148" s="175"/>
      <c r="O148" s="175"/>
      <c r="P148" s="175"/>
    </row>
    <row r="149">
      <c r="A149" s="175"/>
      <c r="B149" s="175"/>
      <c r="C149" s="175"/>
      <c r="D149" s="175"/>
      <c r="E149" s="175"/>
      <c r="F149" s="175"/>
      <c r="G149" s="175"/>
      <c r="H149" s="175"/>
      <c r="I149" s="175"/>
      <c r="J149" s="175"/>
      <c r="K149" s="175"/>
      <c r="L149" s="175"/>
      <c r="M149" s="175"/>
      <c r="N149" s="175"/>
      <c r="O149" s="175"/>
      <c r="P149" s="175"/>
    </row>
    <row r="150">
      <c r="A150" s="175"/>
      <c r="B150" s="175"/>
      <c r="C150" s="175"/>
      <c r="D150" s="175"/>
      <c r="E150" s="175"/>
      <c r="F150" s="175"/>
      <c r="G150" s="175"/>
      <c r="H150" s="175"/>
      <c r="I150" s="175"/>
      <c r="J150" s="175"/>
      <c r="K150" s="175"/>
      <c r="L150" s="175"/>
      <c r="M150" s="175"/>
      <c r="N150" s="175"/>
      <c r="O150" s="175"/>
      <c r="P150" s="175"/>
    </row>
    <row r="151">
      <c r="A151" s="175"/>
      <c r="B151" s="175"/>
      <c r="C151" s="175"/>
      <c r="D151" s="175"/>
      <c r="E151" s="175"/>
      <c r="F151" s="175"/>
      <c r="G151" s="175"/>
      <c r="H151" s="175"/>
      <c r="I151" s="175"/>
      <c r="J151" s="175"/>
      <c r="K151" s="175"/>
      <c r="L151" s="175"/>
      <c r="M151" s="175"/>
      <c r="N151" s="175"/>
      <c r="O151" s="175"/>
      <c r="P151" s="175"/>
    </row>
    <row r="152">
      <c r="A152" s="175"/>
      <c r="B152" s="175"/>
      <c r="C152" s="175"/>
      <c r="D152" s="175"/>
      <c r="E152" s="175"/>
      <c r="F152" s="175"/>
      <c r="G152" s="175"/>
      <c r="H152" s="175"/>
      <c r="I152" s="175"/>
      <c r="J152" s="175"/>
      <c r="K152" s="175"/>
      <c r="L152" s="175"/>
      <c r="M152" s="175"/>
      <c r="N152" s="175"/>
      <c r="O152" s="175"/>
      <c r="P152" s="175"/>
    </row>
    <row r="153">
      <c r="A153" s="175"/>
      <c r="B153" s="175"/>
      <c r="C153" s="175"/>
      <c r="D153" s="175"/>
      <c r="E153" s="175"/>
      <c r="F153" s="175"/>
      <c r="G153" s="175"/>
      <c r="H153" s="175"/>
      <c r="I153" s="175"/>
      <c r="J153" s="175"/>
      <c r="K153" s="175"/>
      <c r="L153" s="175"/>
      <c r="M153" s="175"/>
      <c r="N153" s="175"/>
      <c r="O153" s="175"/>
      <c r="P153" s="175"/>
    </row>
    <row r="154">
      <c r="A154" s="175"/>
      <c r="B154" s="175"/>
      <c r="C154" s="175"/>
      <c r="D154" s="175"/>
      <c r="E154" s="175"/>
      <c r="F154" s="175"/>
      <c r="G154" s="175"/>
      <c r="H154" s="175"/>
      <c r="I154" s="175"/>
      <c r="J154" s="175"/>
      <c r="K154" s="175"/>
      <c r="L154" s="175"/>
      <c r="M154" s="175"/>
      <c r="N154" s="175"/>
      <c r="O154" s="175"/>
      <c r="P154" s="175"/>
    </row>
    <row r="155">
      <c r="A155" s="175"/>
      <c r="B155" s="175"/>
      <c r="C155" s="175"/>
      <c r="D155" s="175"/>
      <c r="E155" s="175"/>
      <c r="F155" s="175"/>
      <c r="G155" s="175"/>
      <c r="H155" s="175"/>
      <c r="I155" s="175"/>
      <c r="J155" s="175"/>
      <c r="K155" s="175"/>
      <c r="L155" s="175"/>
      <c r="M155" s="175"/>
      <c r="N155" s="175"/>
      <c r="O155" s="175"/>
      <c r="P155" s="175"/>
    </row>
    <row r="156">
      <c r="A156" s="175"/>
      <c r="B156" s="175"/>
      <c r="C156" s="175"/>
      <c r="D156" s="175"/>
      <c r="E156" s="175"/>
      <c r="F156" s="175"/>
      <c r="G156" s="175"/>
      <c r="H156" s="175"/>
      <c r="I156" s="175"/>
      <c r="J156" s="175"/>
      <c r="K156" s="175"/>
      <c r="L156" s="175"/>
      <c r="M156" s="175"/>
      <c r="N156" s="175"/>
      <c r="O156" s="175"/>
      <c r="P156" s="175"/>
    </row>
    <row r="157">
      <c r="A157" s="175"/>
      <c r="B157" s="175"/>
      <c r="C157" s="175"/>
      <c r="D157" s="175"/>
      <c r="E157" s="175"/>
      <c r="F157" s="175"/>
      <c r="G157" s="175"/>
      <c r="H157" s="175"/>
      <c r="I157" s="175"/>
      <c r="J157" s="175"/>
      <c r="K157" s="175"/>
      <c r="L157" s="175"/>
      <c r="M157" s="175"/>
      <c r="N157" s="175"/>
      <c r="O157" s="175"/>
      <c r="P157" s="175"/>
    </row>
    <row r="158">
      <c r="A158" s="175"/>
      <c r="B158" s="175"/>
      <c r="C158" s="175"/>
      <c r="D158" s="175"/>
      <c r="E158" s="175"/>
      <c r="F158" s="175"/>
      <c r="G158" s="175"/>
      <c r="H158" s="175"/>
      <c r="I158" s="175"/>
      <c r="J158" s="175"/>
      <c r="K158" s="175"/>
      <c r="L158" s="175"/>
      <c r="M158" s="175"/>
      <c r="N158" s="175"/>
      <c r="O158" s="175"/>
      <c r="P158" s="175"/>
    </row>
    <row r="159">
      <c r="A159" s="175"/>
      <c r="B159" s="175"/>
      <c r="C159" s="175"/>
      <c r="D159" s="175"/>
      <c r="E159" s="175"/>
      <c r="F159" s="175"/>
      <c r="G159" s="175"/>
      <c r="H159" s="175"/>
      <c r="I159" s="175"/>
      <c r="J159" s="175"/>
      <c r="K159" s="175"/>
      <c r="L159" s="175"/>
      <c r="M159" s="175"/>
      <c r="N159" s="175"/>
      <c r="O159" s="175"/>
      <c r="P159" s="175"/>
    </row>
    <row r="160">
      <c r="A160" s="175"/>
      <c r="B160" s="175"/>
      <c r="C160" s="175"/>
      <c r="D160" s="175"/>
      <c r="E160" s="175"/>
      <c r="F160" s="175"/>
      <c r="G160" s="175"/>
      <c r="H160" s="175"/>
      <c r="I160" s="175"/>
      <c r="J160" s="175"/>
      <c r="K160" s="175"/>
      <c r="L160" s="175"/>
      <c r="M160" s="175"/>
      <c r="N160" s="175"/>
      <c r="O160" s="175"/>
      <c r="P160" s="175"/>
    </row>
    <row r="161">
      <c r="A161" s="175"/>
      <c r="B161" s="175"/>
      <c r="C161" s="175"/>
      <c r="D161" s="175"/>
      <c r="E161" s="175"/>
      <c r="F161" s="175"/>
      <c r="G161" s="175"/>
      <c r="H161" s="175"/>
      <c r="I161" s="175"/>
      <c r="J161" s="175"/>
      <c r="K161" s="175"/>
      <c r="L161" s="175"/>
      <c r="M161" s="175"/>
      <c r="N161" s="175"/>
      <c r="O161" s="175"/>
      <c r="P161" s="175"/>
    </row>
    <row r="162">
      <c r="A162" s="175"/>
      <c r="B162" s="175"/>
      <c r="C162" s="175"/>
      <c r="D162" s="175"/>
      <c r="E162" s="175"/>
      <c r="F162" s="175"/>
      <c r="G162" s="175"/>
      <c r="H162" s="175"/>
      <c r="I162" s="175"/>
      <c r="J162" s="175"/>
      <c r="K162" s="175"/>
      <c r="L162" s="175"/>
      <c r="M162" s="175"/>
      <c r="N162" s="175"/>
      <c r="O162" s="175"/>
      <c r="P162" s="175"/>
    </row>
    <row r="163">
      <c r="A163" s="175"/>
      <c r="B163" s="175"/>
      <c r="C163" s="175"/>
      <c r="D163" s="175"/>
      <c r="E163" s="175"/>
      <c r="F163" s="175"/>
      <c r="G163" s="175"/>
      <c r="H163" s="175"/>
      <c r="I163" s="175"/>
      <c r="J163" s="175"/>
      <c r="K163" s="175"/>
      <c r="L163" s="175"/>
      <c r="M163" s="175"/>
      <c r="N163" s="175"/>
      <c r="O163" s="175"/>
      <c r="P163" s="175"/>
    </row>
    <row r="164">
      <c r="A164" s="175"/>
      <c r="B164" s="175"/>
      <c r="C164" s="175"/>
      <c r="D164" s="175"/>
      <c r="E164" s="175"/>
      <c r="F164" s="175"/>
      <c r="G164" s="175"/>
      <c r="H164" s="175"/>
      <c r="I164" s="175"/>
      <c r="J164" s="175"/>
      <c r="K164" s="175"/>
      <c r="L164" s="175"/>
      <c r="M164" s="175"/>
      <c r="N164" s="175"/>
      <c r="O164" s="175"/>
      <c r="P164" s="175"/>
    </row>
    <row r="165">
      <c r="A165" s="175"/>
      <c r="B165" s="175"/>
      <c r="C165" s="175"/>
      <c r="D165" s="175"/>
      <c r="E165" s="175"/>
      <c r="F165" s="175"/>
      <c r="G165" s="175"/>
      <c r="H165" s="175"/>
      <c r="I165" s="175"/>
      <c r="J165" s="175"/>
      <c r="K165" s="175"/>
      <c r="L165" s="175"/>
      <c r="M165" s="175"/>
      <c r="N165" s="175"/>
      <c r="O165" s="175"/>
      <c r="P165" s="175"/>
    </row>
    <row r="166">
      <c r="A166" s="175"/>
      <c r="B166" s="175"/>
      <c r="C166" s="175"/>
      <c r="D166" s="175"/>
      <c r="E166" s="175"/>
      <c r="F166" s="175"/>
      <c r="G166" s="175"/>
      <c r="H166" s="175"/>
      <c r="I166" s="175"/>
      <c r="J166" s="175"/>
      <c r="K166" s="175"/>
      <c r="L166" s="175"/>
      <c r="M166" s="175"/>
      <c r="N166" s="175"/>
      <c r="O166" s="175"/>
      <c r="P166" s="175"/>
    </row>
    <row r="167">
      <c r="A167" s="175"/>
      <c r="B167" s="175"/>
      <c r="C167" s="175"/>
      <c r="D167" s="175"/>
      <c r="E167" s="175"/>
      <c r="F167" s="175"/>
      <c r="G167" s="175"/>
      <c r="H167" s="175"/>
      <c r="I167" s="175"/>
      <c r="J167" s="175"/>
      <c r="K167" s="175"/>
      <c r="L167" s="175"/>
      <c r="M167" s="175"/>
      <c r="N167" s="175"/>
      <c r="O167" s="175"/>
      <c r="P167" s="175"/>
    </row>
    <row r="168">
      <c r="A168" s="175"/>
      <c r="B168" s="175"/>
      <c r="C168" s="175"/>
      <c r="D168" s="175"/>
      <c r="E168" s="175"/>
      <c r="F168" s="175"/>
      <c r="G168" s="175"/>
      <c r="H168" s="175"/>
      <c r="I168" s="175"/>
      <c r="J168" s="175"/>
      <c r="K168" s="175"/>
      <c r="L168" s="175"/>
      <c r="M168" s="175"/>
      <c r="N168" s="175"/>
      <c r="O168" s="175"/>
      <c r="P168" s="175"/>
    </row>
    <row r="169">
      <c r="A169" s="175"/>
      <c r="B169" s="175"/>
      <c r="C169" s="175"/>
      <c r="D169" s="175"/>
      <c r="E169" s="175"/>
      <c r="F169" s="175"/>
      <c r="G169" s="175"/>
      <c r="H169" s="175"/>
      <c r="I169" s="175"/>
      <c r="J169" s="175"/>
      <c r="K169" s="175"/>
      <c r="L169" s="175"/>
      <c r="M169" s="175"/>
      <c r="N169" s="175"/>
      <c r="O169" s="175"/>
      <c r="P169" s="175"/>
    </row>
    <row r="170">
      <c r="A170" s="175"/>
      <c r="B170" s="175"/>
      <c r="C170" s="175"/>
      <c r="D170" s="175"/>
      <c r="E170" s="175"/>
      <c r="F170" s="175"/>
      <c r="G170" s="175"/>
      <c r="H170" s="175"/>
      <c r="I170" s="175"/>
      <c r="J170" s="175"/>
      <c r="K170" s="175"/>
      <c r="L170" s="175"/>
      <c r="M170" s="175"/>
      <c r="N170" s="175"/>
      <c r="O170" s="175"/>
      <c r="P170" s="175"/>
    </row>
    <row r="171">
      <c r="A171" s="175"/>
      <c r="B171" s="175"/>
      <c r="C171" s="175"/>
      <c r="D171" s="175"/>
      <c r="E171" s="175"/>
      <c r="F171" s="175"/>
      <c r="G171" s="175"/>
      <c r="H171" s="175"/>
      <c r="I171" s="175"/>
      <c r="J171" s="175"/>
      <c r="K171" s="175"/>
      <c r="L171" s="175"/>
      <c r="M171" s="175"/>
      <c r="N171" s="175"/>
      <c r="O171" s="175"/>
      <c r="P171" s="175"/>
    </row>
    <row r="172">
      <c r="A172" s="175"/>
      <c r="B172" s="175"/>
      <c r="C172" s="175"/>
      <c r="D172" s="175"/>
      <c r="E172" s="175"/>
      <c r="F172" s="175"/>
      <c r="G172" s="175"/>
      <c r="H172" s="175"/>
      <c r="I172" s="175"/>
      <c r="J172" s="175"/>
      <c r="K172" s="175"/>
      <c r="L172" s="175"/>
      <c r="M172" s="175"/>
      <c r="N172" s="175"/>
      <c r="O172" s="175"/>
      <c r="P172" s="175"/>
    </row>
    <row r="173">
      <c r="A173" s="175"/>
      <c r="B173" s="175"/>
      <c r="C173" s="175"/>
      <c r="D173" s="175"/>
      <c r="E173" s="175"/>
      <c r="F173" s="175"/>
      <c r="G173" s="175"/>
      <c r="H173" s="175"/>
      <c r="I173" s="175"/>
      <c r="J173" s="175"/>
      <c r="K173" s="175"/>
      <c r="L173" s="175"/>
      <c r="M173" s="175"/>
      <c r="N173" s="175"/>
      <c r="O173" s="175"/>
      <c r="P173" s="175"/>
    </row>
    <row r="174">
      <c r="A174" s="175"/>
      <c r="B174" s="175"/>
      <c r="C174" s="175"/>
      <c r="D174" s="175"/>
      <c r="E174" s="175"/>
      <c r="F174" s="175"/>
      <c r="G174" s="175"/>
      <c r="H174" s="175"/>
      <c r="I174" s="175"/>
      <c r="J174" s="175"/>
      <c r="K174" s="175"/>
      <c r="L174" s="175"/>
      <c r="M174" s="175"/>
      <c r="N174" s="175"/>
      <c r="O174" s="175"/>
      <c r="P174" s="175"/>
    </row>
    <row r="175">
      <c r="A175" s="175"/>
      <c r="B175" s="175"/>
      <c r="C175" s="175"/>
      <c r="D175" s="175"/>
      <c r="E175" s="175"/>
      <c r="F175" s="175"/>
      <c r="G175" s="175"/>
      <c r="H175" s="175"/>
      <c r="I175" s="175"/>
      <c r="J175" s="175"/>
      <c r="K175" s="175"/>
      <c r="L175" s="175"/>
      <c r="M175" s="175"/>
      <c r="N175" s="175"/>
      <c r="O175" s="175"/>
      <c r="P175" s="175"/>
    </row>
    <row r="176">
      <c r="A176" s="175"/>
      <c r="B176" s="175"/>
      <c r="C176" s="175"/>
      <c r="D176" s="175"/>
      <c r="E176" s="175"/>
      <c r="F176" s="175"/>
      <c r="G176" s="175"/>
      <c r="H176" s="175"/>
      <c r="I176" s="175"/>
      <c r="J176" s="175"/>
      <c r="K176" s="175"/>
      <c r="L176" s="175"/>
      <c r="M176" s="175"/>
      <c r="N176" s="175"/>
      <c r="O176" s="175"/>
      <c r="P176" s="175"/>
    </row>
    <row r="177">
      <c r="A177" s="175"/>
      <c r="B177" s="175"/>
      <c r="C177" s="175"/>
      <c r="D177" s="175"/>
      <c r="E177" s="175"/>
      <c r="F177" s="175"/>
      <c r="G177" s="175"/>
      <c r="H177" s="175"/>
      <c r="I177" s="175"/>
      <c r="J177" s="175"/>
      <c r="K177" s="175"/>
      <c r="L177" s="175"/>
      <c r="M177" s="175"/>
      <c r="N177" s="175"/>
      <c r="O177" s="175"/>
      <c r="P177" s="175"/>
    </row>
    <row r="178">
      <c r="A178" s="175"/>
      <c r="B178" s="175"/>
      <c r="C178" s="175"/>
      <c r="D178" s="175"/>
      <c r="E178" s="175"/>
      <c r="F178" s="175"/>
      <c r="G178" s="175"/>
      <c r="H178" s="175"/>
      <c r="I178" s="175"/>
      <c r="J178" s="175"/>
      <c r="K178" s="175"/>
      <c r="L178" s="175"/>
      <c r="M178" s="175"/>
      <c r="N178" s="175"/>
      <c r="O178" s="175"/>
      <c r="P178" s="175"/>
    </row>
    <row r="179">
      <c r="A179" s="175"/>
      <c r="B179" s="175"/>
      <c r="C179" s="175"/>
      <c r="D179" s="175"/>
      <c r="E179" s="175"/>
      <c r="F179" s="175"/>
      <c r="G179" s="175"/>
      <c r="H179" s="175"/>
      <c r="I179" s="175"/>
      <c r="J179" s="175"/>
      <c r="K179" s="175"/>
      <c r="L179" s="175"/>
      <c r="M179" s="175"/>
      <c r="N179" s="175"/>
      <c r="O179" s="175"/>
      <c r="P179" s="175"/>
    </row>
    <row r="180">
      <c r="A180" s="175"/>
      <c r="B180" s="175"/>
      <c r="C180" s="175"/>
      <c r="D180" s="175"/>
      <c r="E180" s="175"/>
      <c r="F180" s="175"/>
      <c r="G180" s="175"/>
      <c r="H180" s="175"/>
      <c r="I180" s="175"/>
      <c r="J180" s="175"/>
      <c r="K180" s="175"/>
      <c r="L180" s="175"/>
      <c r="M180" s="175"/>
      <c r="N180" s="175"/>
      <c r="O180" s="175"/>
      <c r="P180" s="175"/>
    </row>
    <row r="181">
      <c r="A181" s="175"/>
      <c r="B181" s="175"/>
      <c r="C181" s="175"/>
      <c r="D181" s="175"/>
      <c r="E181" s="175"/>
      <c r="F181" s="175"/>
      <c r="G181" s="175"/>
      <c r="H181" s="175"/>
      <c r="I181" s="175"/>
      <c r="J181" s="175"/>
      <c r="K181" s="175"/>
      <c r="L181" s="175"/>
      <c r="M181" s="175"/>
      <c r="N181" s="175"/>
      <c r="O181" s="175"/>
      <c r="P181" s="175"/>
    </row>
    <row r="182">
      <c r="A182" s="175"/>
      <c r="B182" s="175"/>
      <c r="C182" s="175"/>
      <c r="D182" s="175"/>
      <c r="E182" s="175"/>
      <c r="F182" s="175"/>
      <c r="G182" s="175"/>
      <c r="H182" s="175"/>
      <c r="I182" s="175"/>
      <c r="J182" s="175"/>
      <c r="K182" s="175"/>
      <c r="L182" s="175"/>
      <c r="M182" s="175"/>
      <c r="N182" s="175"/>
      <c r="O182" s="175"/>
      <c r="P182" s="175"/>
    </row>
    <row r="183">
      <c r="A183" s="175"/>
      <c r="B183" s="175"/>
      <c r="C183" s="175"/>
      <c r="D183" s="175"/>
      <c r="E183" s="175"/>
      <c r="F183" s="175"/>
      <c r="G183" s="175"/>
      <c r="H183" s="175"/>
      <c r="I183" s="175"/>
      <c r="J183" s="175"/>
      <c r="K183" s="175"/>
      <c r="L183" s="175"/>
      <c r="M183" s="175"/>
      <c r="N183" s="175"/>
      <c r="O183" s="175"/>
      <c r="P183" s="175"/>
    </row>
    <row r="184">
      <c r="A184" s="175"/>
      <c r="B184" s="175"/>
      <c r="C184" s="175"/>
      <c r="D184" s="175"/>
      <c r="E184" s="175"/>
      <c r="F184" s="175"/>
      <c r="G184" s="175"/>
      <c r="H184" s="175"/>
      <c r="I184" s="175"/>
      <c r="J184" s="175"/>
      <c r="K184" s="175"/>
      <c r="L184" s="175"/>
      <c r="M184" s="175"/>
      <c r="N184" s="175"/>
      <c r="O184" s="175"/>
      <c r="P184" s="175"/>
    </row>
    <row r="185">
      <c r="A185" s="175"/>
      <c r="B185" s="175"/>
      <c r="C185" s="175"/>
      <c r="D185" s="175"/>
      <c r="E185" s="175"/>
      <c r="F185" s="175"/>
      <c r="G185" s="175"/>
      <c r="H185" s="175"/>
      <c r="I185" s="175"/>
      <c r="J185" s="175"/>
      <c r="K185" s="175"/>
      <c r="L185" s="175"/>
      <c r="M185" s="175"/>
      <c r="N185" s="175"/>
      <c r="O185" s="175"/>
      <c r="P185" s="175"/>
    </row>
    <row r="186">
      <c r="A186" s="175"/>
      <c r="B186" s="175"/>
      <c r="C186" s="175"/>
      <c r="D186" s="175"/>
      <c r="E186" s="175"/>
      <c r="F186" s="175"/>
      <c r="G186" s="175"/>
      <c r="H186" s="175"/>
      <c r="I186" s="175"/>
      <c r="J186" s="175"/>
      <c r="K186" s="175"/>
      <c r="L186" s="175"/>
      <c r="M186" s="175"/>
      <c r="N186" s="175"/>
      <c r="O186" s="175"/>
      <c r="P186" s="175"/>
    </row>
    <row r="187">
      <c r="A187" s="175"/>
      <c r="B187" s="175"/>
      <c r="C187" s="175"/>
      <c r="D187" s="175"/>
      <c r="E187" s="175"/>
      <c r="F187" s="175"/>
      <c r="G187" s="175"/>
      <c r="H187" s="175"/>
      <c r="I187" s="175"/>
      <c r="J187" s="175"/>
      <c r="K187" s="175"/>
      <c r="L187" s="175"/>
      <c r="M187" s="175"/>
      <c r="N187" s="175"/>
      <c r="O187" s="175"/>
      <c r="P187" s="175"/>
    </row>
    <row r="188">
      <c r="A188" s="175"/>
      <c r="B188" s="175"/>
      <c r="C188" s="175"/>
      <c r="D188" s="175"/>
      <c r="E188" s="175"/>
      <c r="F188" s="175"/>
      <c r="G188" s="175"/>
      <c r="H188" s="175"/>
      <c r="I188" s="175"/>
      <c r="J188" s="175"/>
      <c r="K188" s="175"/>
      <c r="L188" s="175"/>
      <c r="M188" s="175"/>
      <c r="N188" s="175"/>
      <c r="O188" s="175"/>
      <c r="P188" s="175"/>
    </row>
    <row r="189">
      <c r="A189" s="175"/>
      <c r="B189" s="175"/>
      <c r="C189" s="175"/>
      <c r="D189" s="175"/>
      <c r="E189" s="175"/>
      <c r="F189" s="175"/>
      <c r="G189" s="175"/>
      <c r="H189" s="175"/>
      <c r="I189" s="175"/>
      <c r="J189" s="175"/>
      <c r="K189" s="175"/>
      <c r="L189" s="175"/>
      <c r="M189" s="175"/>
      <c r="N189" s="175"/>
      <c r="O189" s="175"/>
      <c r="P189" s="175"/>
    </row>
    <row r="190">
      <c r="A190" s="175"/>
      <c r="B190" s="175"/>
      <c r="C190" s="175"/>
      <c r="D190" s="175"/>
      <c r="E190" s="175"/>
      <c r="F190" s="175"/>
      <c r="G190" s="175"/>
      <c r="H190" s="175"/>
      <c r="I190" s="175"/>
      <c r="J190" s="175"/>
      <c r="K190" s="175"/>
      <c r="L190" s="175"/>
      <c r="M190" s="175"/>
      <c r="N190" s="175"/>
      <c r="O190" s="175"/>
      <c r="P190" s="175"/>
    </row>
    <row r="191">
      <c r="A191" s="175"/>
      <c r="B191" s="175"/>
      <c r="C191" s="175"/>
      <c r="D191" s="175"/>
      <c r="E191" s="175"/>
      <c r="F191" s="175"/>
      <c r="G191" s="175"/>
      <c r="H191" s="175"/>
      <c r="I191" s="175"/>
      <c r="J191" s="175"/>
      <c r="K191" s="175"/>
      <c r="L191" s="175"/>
      <c r="M191" s="175"/>
      <c r="N191" s="175"/>
      <c r="O191" s="175"/>
      <c r="P191" s="175"/>
    </row>
    <row r="192">
      <c r="A192" s="175"/>
      <c r="B192" s="175"/>
      <c r="C192" s="175"/>
      <c r="D192" s="175"/>
      <c r="E192" s="175"/>
      <c r="F192" s="175"/>
      <c r="G192" s="175"/>
      <c r="H192" s="175"/>
      <c r="I192" s="175"/>
      <c r="J192" s="175"/>
      <c r="K192" s="175"/>
      <c r="L192" s="175"/>
      <c r="M192" s="175"/>
      <c r="N192" s="175"/>
      <c r="O192" s="175"/>
      <c r="P192" s="175"/>
    </row>
    <row r="193">
      <c r="A193" s="175"/>
      <c r="B193" s="175"/>
      <c r="C193" s="175"/>
      <c r="D193" s="175"/>
      <c r="E193" s="175"/>
      <c r="F193" s="175"/>
      <c r="G193" s="175"/>
      <c r="H193" s="175"/>
      <c r="I193" s="175"/>
      <c r="J193" s="175"/>
      <c r="K193" s="175"/>
      <c r="L193" s="175"/>
      <c r="M193" s="175"/>
      <c r="N193" s="175"/>
      <c r="O193" s="175"/>
      <c r="P193" s="175"/>
    </row>
    <row r="194">
      <c r="A194" s="175"/>
      <c r="B194" s="175"/>
      <c r="C194" s="175"/>
      <c r="D194" s="175"/>
      <c r="E194" s="175"/>
      <c r="F194" s="175"/>
      <c r="G194" s="175"/>
      <c r="H194" s="175"/>
      <c r="I194" s="175"/>
      <c r="J194" s="175"/>
      <c r="K194" s="175"/>
      <c r="L194" s="175"/>
      <c r="M194" s="175"/>
      <c r="N194" s="175"/>
      <c r="O194" s="175"/>
      <c r="P194" s="175"/>
    </row>
    <row r="195">
      <c r="A195" s="175"/>
      <c r="B195" s="175"/>
      <c r="C195" s="175"/>
      <c r="D195" s="175"/>
      <c r="E195" s="175"/>
      <c r="F195" s="175"/>
      <c r="G195" s="175"/>
      <c r="H195" s="175"/>
      <c r="I195" s="175"/>
      <c r="J195" s="175"/>
      <c r="K195" s="175"/>
      <c r="L195" s="175"/>
      <c r="M195" s="175"/>
      <c r="N195" s="175"/>
      <c r="O195" s="175"/>
      <c r="P195" s="175"/>
    </row>
    <row r="196">
      <c r="A196" s="175"/>
      <c r="B196" s="175"/>
      <c r="C196" s="175"/>
      <c r="D196" s="175"/>
      <c r="E196" s="175"/>
      <c r="F196" s="175"/>
      <c r="G196" s="175"/>
      <c r="H196" s="175"/>
      <c r="I196" s="175"/>
      <c r="J196" s="175"/>
      <c r="K196" s="175"/>
      <c r="L196" s="175"/>
      <c r="M196" s="175"/>
      <c r="N196" s="175"/>
      <c r="O196" s="175"/>
      <c r="P196" s="175"/>
    </row>
    <row r="197">
      <c r="A197" s="175"/>
      <c r="B197" s="175"/>
      <c r="C197" s="175"/>
      <c r="D197" s="175"/>
      <c r="E197" s="175"/>
      <c r="F197" s="175"/>
      <c r="G197" s="175"/>
      <c r="H197" s="175"/>
      <c r="I197" s="175"/>
      <c r="J197" s="175"/>
      <c r="K197" s="175"/>
      <c r="L197" s="175"/>
      <c r="M197" s="175"/>
      <c r="N197" s="175"/>
      <c r="O197" s="175"/>
      <c r="P197" s="175"/>
    </row>
    <row r="198">
      <c r="A198" s="175"/>
      <c r="B198" s="175"/>
      <c r="C198" s="175"/>
      <c r="D198" s="175"/>
      <c r="E198" s="175"/>
      <c r="F198" s="175"/>
      <c r="G198" s="175"/>
      <c r="H198" s="175"/>
      <c r="I198" s="175"/>
      <c r="J198" s="175"/>
      <c r="K198" s="175"/>
      <c r="L198" s="175"/>
      <c r="M198" s="175"/>
      <c r="N198" s="175"/>
      <c r="O198" s="175"/>
      <c r="P198" s="175"/>
    </row>
    <row r="199">
      <c r="A199" s="175"/>
      <c r="B199" s="175"/>
      <c r="C199" s="175"/>
      <c r="D199" s="175"/>
      <c r="E199" s="175"/>
      <c r="F199" s="175"/>
      <c r="G199" s="175"/>
      <c r="H199" s="175"/>
      <c r="I199" s="175"/>
      <c r="J199" s="175"/>
      <c r="K199" s="175"/>
      <c r="L199" s="175"/>
      <c r="M199" s="175"/>
      <c r="N199" s="175"/>
      <c r="O199" s="175"/>
      <c r="P199" s="175"/>
    </row>
    <row r="200">
      <c r="A200" s="175"/>
      <c r="B200" s="175"/>
      <c r="C200" s="175"/>
      <c r="D200" s="175"/>
      <c r="E200" s="175"/>
      <c r="F200" s="175"/>
      <c r="G200" s="175"/>
      <c r="H200" s="175"/>
      <c r="I200" s="175"/>
      <c r="J200" s="175"/>
      <c r="K200" s="175"/>
      <c r="L200" s="175"/>
      <c r="M200" s="175"/>
      <c r="N200" s="175"/>
      <c r="O200" s="175"/>
      <c r="P200" s="175"/>
    </row>
    <row r="201">
      <c r="A201" s="175"/>
      <c r="B201" s="175"/>
      <c r="C201" s="175"/>
      <c r="D201" s="175"/>
      <c r="E201" s="175"/>
      <c r="F201" s="175"/>
      <c r="G201" s="175"/>
      <c r="H201" s="175"/>
      <c r="I201" s="175"/>
      <c r="J201" s="175"/>
      <c r="K201" s="175"/>
      <c r="L201" s="175"/>
      <c r="M201" s="175"/>
      <c r="N201" s="175"/>
      <c r="O201" s="175"/>
      <c r="P201" s="175"/>
    </row>
    <row r="202">
      <c r="A202" s="175"/>
      <c r="B202" s="175"/>
      <c r="C202" s="175"/>
      <c r="D202" s="175"/>
      <c r="E202" s="175"/>
      <c r="F202" s="175"/>
      <c r="G202" s="175"/>
      <c r="H202" s="175"/>
      <c r="I202" s="175"/>
      <c r="J202" s="175"/>
      <c r="K202" s="175"/>
      <c r="L202" s="175"/>
      <c r="M202" s="175"/>
      <c r="N202" s="175"/>
      <c r="O202" s="175"/>
      <c r="P202" s="175"/>
    </row>
    <row r="203">
      <c r="A203" s="175"/>
      <c r="B203" s="175"/>
      <c r="C203" s="175"/>
      <c r="D203" s="175"/>
      <c r="E203" s="175"/>
      <c r="F203" s="175"/>
      <c r="G203" s="175"/>
      <c r="H203" s="175"/>
      <c r="I203" s="175"/>
      <c r="J203" s="175"/>
      <c r="K203" s="175"/>
      <c r="L203" s="175"/>
      <c r="M203" s="175"/>
      <c r="N203" s="175"/>
      <c r="O203" s="175"/>
      <c r="P203" s="175"/>
    </row>
    <row r="204">
      <c r="A204" s="175"/>
      <c r="B204" s="175"/>
      <c r="C204" s="175"/>
      <c r="D204" s="175"/>
      <c r="E204" s="175"/>
      <c r="F204" s="175"/>
      <c r="G204" s="175"/>
      <c r="H204" s="175"/>
      <c r="I204" s="175"/>
      <c r="J204" s="175"/>
      <c r="K204" s="175"/>
      <c r="L204" s="175"/>
      <c r="M204" s="175"/>
      <c r="N204" s="175"/>
      <c r="O204" s="175"/>
      <c r="P204" s="175"/>
    </row>
    <row r="205">
      <c r="A205" s="175"/>
      <c r="B205" s="175"/>
      <c r="C205" s="175"/>
      <c r="D205" s="175"/>
      <c r="E205" s="175"/>
      <c r="F205" s="175"/>
      <c r="G205" s="175"/>
      <c r="H205" s="175"/>
      <c r="I205" s="175"/>
      <c r="J205" s="175"/>
      <c r="K205" s="175"/>
      <c r="L205" s="175"/>
      <c r="M205" s="175"/>
      <c r="N205" s="175"/>
      <c r="O205" s="175"/>
      <c r="P205" s="175"/>
    </row>
    <row r="206">
      <c r="A206" s="175"/>
      <c r="B206" s="175"/>
      <c r="C206" s="175"/>
      <c r="D206" s="175"/>
      <c r="E206" s="175"/>
      <c r="F206" s="175"/>
      <c r="G206" s="175"/>
      <c r="H206" s="175"/>
      <c r="I206" s="175"/>
      <c r="J206" s="175"/>
      <c r="K206" s="175"/>
      <c r="L206" s="175"/>
      <c r="M206" s="175"/>
      <c r="N206" s="175"/>
      <c r="O206" s="175"/>
      <c r="P206" s="175"/>
    </row>
    <row r="207">
      <c r="A207" s="175"/>
      <c r="B207" s="175"/>
      <c r="C207" s="175"/>
      <c r="D207" s="175"/>
      <c r="E207" s="175"/>
      <c r="F207" s="175"/>
      <c r="G207" s="175"/>
      <c r="H207" s="175"/>
      <c r="I207" s="175"/>
      <c r="J207" s="175"/>
      <c r="K207" s="175"/>
      <c r="L207" s="175"/>
      <c r="M207" s="175"/>
      <c r="N207" s="175"/>
      <c r="O207" s="175"/>
      <c r="P207" s="175"/>
    </row>
    <row r="208">
      <c r="A208" s="175"/>
      <c r="B208" s="175"/>
      <c r="C208" s="175"/>
      <c r="D208" s="175"/>
      <c r="E208" s="175"/>
      <c r="F208" s="175"/>
      <c r="G208" s="175"/>
      <c r="H208" s="175"/>
      <c r="I208" s="175"/>
      <c r="J208" s="175"/>
      <c r="K208" s="175"/>
      <c r="L208" s="175"/>
      <c r="M208" s="175"/>
      <c r="N208" s="175"/>
      <c r="O208" s="175"/>
      <c r="P208" s="175"/>
    </row>
    <row r="209">
      <c r="A209" s="175"/>
      <c r="B209" s="175"/>
      <c r="C209" s="175"/>
      <c r="D209" s="175"/>
      <c r="E209" s="175"/>
      <c r="F209" s="175"/>
      <c r="G209" s="175"/>
      <c r="H209" s="175"/>
      <c r="I209" s="175"/>
      <c r="J209" s="175"/>
      <c r="K209" s="175"/>
      <c r="L209" s="175"/>
      <c r="M209" s="175"/>
      <c r="N209" s="175"/>
      <c r="O209" s="175"/>
      <c r="P209" s="175"/>
    </row>
    <row r="210">
      <c r="A210" s="175"/>
      <c r="B210" s="175"/>
      <c r="C210" s="175"/>
      <c r="D210" s="175"/>
      <c r="E210" s="175"/>
      <c r="F210" s="175"/>
      <c r="G210" s="175"/>
      <c r="H210" s="175"/>
      <c r="I210" s="175"/>
      <c r="J210" s="175"/>
      <c r="K210" s="175"/>
      <c r="L210" s="175"/>
      <c r="M210" s="175"/>
      <c r="N210" s="175"/>
      <c r="O210" s="175"/>
      <c r="P210" s="175"/>
    </row>
    <row r="211">
      <c r="A211" s="175"/>
      <c r="B211" s="175"/>
      <c r="C211" s="175"/>
      <c r="D211" s="175"/>
      <c r="E211" s="175"/>
      <c r="F211" s="175"/>
      <c r="G211" s="175"/>
      <c r="H211" s="175"/>
      <c r="I211" s="175"/>
      <c r="J211" s="175"/>
      <c r="K211" s="175"/>
      <c r="L211" s="175"/>
      <c r="M211" s="175"/>
      <c r="N211" s="175"/>
      <c r="O211" s="175"/>
      <c r="P211" s="175"/>
    </row>
    <row r="212">
      <c r="A212" s="175"/>
      <c r="B212" s="175"/>
      <c r="C212" s="175"/>
      <c r="D212" s="175"/>
      <c r="E212" s="175"/>
      <c r="F212" s="175"/>
      <c r="G212" s="175"/>
      <c r="H212" s="175"/>
      <c r="I212" s="175"/>
      <c r="J212" s="175"/>
      <c r="K212" s="175"/>
      <c r="L212" s="175"/>
      <c r="M212" s="175"/>
      <c r="N212" s="175"/>
      <c r="O212" s="175"/>
      <c r="P212" s="175"/>
    </row>
    <row r="213">
      <c r="A213" s="175"/>
      <c r="B213" s="175"/>
      <c r="C213" s="175"/>
      <c r="D213" s="175"/>
      <c r="E213" s="175"/>
      <c r="F213" s="175"/>
      <c r="G213" s="175"/>
      <c r="H213" s="175"/>
      <c r="I213" s="175"/>
      <c r="J213" s="175"/>
      <c r="K213" s="175"/>
      <c r="L213" s="175"/>
      <c r="M213" s="175"/>
      <c r="N213" s="175"/>
      <c r="O213" s="175"/>
      <c r="P213" s="175"/>
    </row>
    <row r="214">
      <c r="A214" s="175"/>
      <c r="B214" s="175"/>
      <c r="C214" s="175"/>
      <c r="D214" s="175"/>
      <c r="E214" s="175"/>
      <c r="F214" s="175"/>
      <c r="G214" s="175"/>
      <c r="H214" s="175"/>
      <c r="I214" s="175"/>
      <c r="J214" s="175"/>
      <c r="K214" s="175"/>
      <c r="L214" s="175"/>
      <c r="M214" s="175"/>
      <c r="N214" s="175"/>
      <c r="O214" s="175"/>
      <c r="P214" s="175"/>
    </row>
    <row r="215">
      <c r="A215" s="175"/>
      <c r="B215" s="175"/>
      <c r="C215" s="175"/>
      <c r="D215" s="175"/>
      <c r="E215" s="175"/>
      <c r="F215" s="175"/>
      <c r="G215" s="175"/>
      <c r="H215" s="175"/>
      <c r="I215" s="175"/>
      <c r="J215" s="175"/>
      <c r="K215" s="175"/>
      <c r="L215" s="175"/>
      <c r="M215" s="175"/>
      <c r="N215" s="175"/>
      <c r="O215" s="175"/>
      <c r="P215" s="175"/>
    </row>
    <row r="216">
      <c r="A216" s="175"/>
      <c r="B216" s="175"/>
      <c r="C216" s="175"/>
      <c r="D216" s="175"/>
      <c r="E216" s="175"/>
      <c r="F216" s="175"/>
      <c r="G216" s="175"/>
      <c r="H216" s="175"/>
      <c r="I216" s="175"/>
      <c r="J216" s="175"/>
      <c r="K216" s="175"/>
      <c r="L216" s="175"/>
      <c r="M216" s="175"/>
      <c r="N216" s="175"/>
      <c r="O216" s="175"/>
      <c r="P216" s="175"/>
    </row>
    <row r="217">
      <c r="A217" s="175"/>
      <c r="B217" s="175"/>
      <c r="C217" s="175"/>
      <c r="D217" s="175"/>
      <c r="E217" s="175"/>
      <c r="F217" s="175"/>
      <c r="G217" s="175"/>
      <c r="H217" s="175"/>
      <c r="I217" s="175"/>
      <c r="J217" s="175"/>
      <c r="K217" s="175"/>
      <c r="L217" s="175"/>
      <c r="M217" s="175"/>
      <c r="N217" s="175"/>
      <c r="O217" s="175"/>
      <c r="P217" s="175"/>
    </row>
    <row r="218">
      <c r="A218" s="175"/>
      <c r="B218" s="175"/>
      <c r="C218" s="175"/>
      <c r="D218" s="175"/>
      <c r="E218" s="175"/>
      <c r="F218" s="175"/>
      <c r="G218" s="175"/>
      <c r="H218" s="175"/>
      <c r="I218" s="175"/>
      <c r="J218" s="175"/>
      <c r="K218" s="175"/>
      <c r="L218" s="175"/>
      <c r="M218" s="175"/>
      <c r="N218" s="175"/>
      <c r="O218" s="175"/>
      <c r="P218" s="175"/>
    </row>
    <row r="219">
      <c r="A219" s="175"/>
      <c r="B219" s="175"/>
      <c r="C219" s="175"/>
      <c r="D219" s="175"/>
      <c r="E219" s="175"/>
      <c r="F219" s="175"/>
      <c r="G219" s="175"/>
      <c r="H219" s="175"/>
      <c r="I219" s="175"/>
      <c r="J219" s="175"/>
      <c r="K219" s="175"/>
      <c r="L219" s="175"/>
      <c r="M219" s="175"/>
      <c r="N219" s="175"/>
      <c r="O219" s="175"/>
      <c r="P219" s="175"/>
    </row>
    <row r="220">
      <c r="A220" s="175"/>
      <c r="B220" s="175"/>
      <c r="C220" s="175"/>
      <c r="D220" s="175"/>
      <c r="E220" s="175"/>
      <c r="F220" s="175"/>
      <c r="G220" s="175"/>
      <c r="H220" s="175"/>
      <c r="I220" s="175"/>
      <c r="J220" s="175"/>
      <c r="K220" s="175"/>
      <c r="L220" s="175"/>
      <c r="M220" s="175"/>
      <c r="N220" s="175"/>
      <c r="O220" s="175"/>
      <c r="P220" s="175"/>
    </row>
    <row r="221">
      <c r="A221" s="175"/>
      <c r="B221" s="175"/>
      <c r="C221" s="175"/>
      <c r="D221" s="175"/>
      <c r="E221" s="175"/>
      <c r="F221" s="175"/>
      <c r="G221" s="175"/>
      <c r="H221" s="175"/>
      <c r="I221" s="175"/>
      <c r="J221" s="175"/>
      <c r="K221" s="175"/>
      <c r="L221" s="175"/>
      <c r="M221" s="175"/>
      <c r="N221" s="175"/>
      <c r="O221" s="175"/>
      <c r="P221" s="175"/>
    </row>
    <row r="222">
      <c r="A222" s="175"/>
      <c r="B222" s="175"/>
      <c r="C222" s="175"/>
      <c r="D222" s="175"/>
      <c r="E222" s="175"/>
      <c r="F222" s="175"/>
      <c r="G222" s="175"/>
      <c r="H222" s="175"/>
      <c r="I222" s="175"/>
      <c r="J222" s="175"/>
      <c r="K222" s="175"/>
      <c r="L222" s="175"/>
      <c r="M222" s="175"/>
      <c r="N222" s="175"/>
      <c r="O222" s="175"/>
      <c r="P222" s="175"/>
    </row>
    <row r="223">
      <c r="A223" s="175"/>
      <c r="B223" s="175"/>
      <c r="C223" s="175"/>
      <c r="D223" s="175"/>
      <c r="E223" s="175"/>
      <c r="F223" s="175"/>
      <c r="G223" s="175"/>
      <c r="H223" s="175"/>
      <c r="I223" s="175"/>
      <c r="J223" s="175"/>
      <c r="K223" s="175"/>
      <c r="L223" s="175"/>
      <c r="M223" s="175"/>
      <c r="N223" s="175"/>
      <c r="O223" s="175"/>
      <c r="P223" s="175"/>
    </row>
    <row r="224">
      <c r="A224" s="175"/>
      <c r="B224" s="175"/>
      <c r="C224" s="175"/>
      <c r="D224" s="175"/>
      <c r="E224" s="175"/>
      <c r="F224" s="175"/>
      <c r="G224" s="175"/>
      <c r="H224" s="175"/>
      <c r="I224" s="175"/>
      <c r="J224" s="175"/>
      <c r="K224" s="175"/>
      <c r="L224" s="175"/>
      <c r="M224" s="175"/>
      <c r="N224" s="175"/>
      <c r="O224" s="175"/>
      <c r="P224" s="175"/>
    </row>
    <row r="225">
      <c r="A225" s="175"/>
      <c r="B225" s="175"/>
      <c r="C225" s="175"/>
      <c r="D225" s="175"/>
      <c r="E225" s="175"/>
      <c r="F225" s="175"/>
      <c r="G225" s="175"/>
      <c r="H225" s="175"/>
      <c r="I225" s="175"/>
      <c r="J225" s="175"/>
      <c r="K225" s="175"/>
      <c r="L225" s="175"/>
      <c r="M225" s="175"/>
      <c r="N225" s="175"/>
      <c r="O225" s="175"/>
      <c r="P225" s="175"/>
    </row>
    <row r="226">
      <c r="A226" s="175"/>
      <c r="B226" s="175"/>
      <c r="C226" s="175"/>
      <c r="D226" s="175"/>
      <c r="E226" s="175"/>
      <c r="F226" s="175"/>
      <c r="G226" s="175"/>
      <c r="H226" s="175"/>
      <c r="I226" s="175"/>
      <c r="J226" s="175"/>
      <c r="K226" s="175"/>
      <c r="L226" s="175"/>
      <c r="M226" s="175"/>
      <c r="N226" s="175"/>
      <c r="O226" s="175"/>
      <c r="P226" s="175"/>
    </row>
    <row r="227">
      <c r="A227" s="175"/>
      <c r="B227" s="175"/>
      <c r="C227" s="175"/>
      <c r="D227" s="175"/>
      <c r="E227" s="175"/>
      <c r="F227" s="175"/>
      <c r="G227" s="175"/>
      <c r="H227" s="175"/>
      <c r="I227" s="175"/>
      <c r="J227" s="175"/>
      <c r="K227" s="175"/>
      <c r="L227" s="175"/>
      <c r="M227" s="175"/>
      <c r="N227" s="175"/>
      <c r="O227" s="175"/>
      <c r="P227" s="175"/>
    </row>
    <row r="228">
      <c r="A228" s="175"/>
      <c r="B228" s="175"/>
      <c r="C228" s="175"/>
      <c r="D228" s="175"/>
      <c r="E228" s="175"/>
      <c r="F228" s="175"/>
      <c r="G228" s="175"/>
      <c r="H228" s="175"/>
      <c r="I228" s="175"/>
      <c r="J228" s="175"/>
      <c r="K228" s="175"/>
      <c r="L228" s="175"/>
      <c r="M228" s="175"/>
      <c r="N228" s="175"/>
      <c r="O228" s="175"/>
      <c r="P228" s="175"/>
    </row>
    <row r="229">
      <c r="A229" s="175"/>
      <c r="B229" s="175"/>
      <c r="C229" s="175"/>
      <c r="D229" s="175"/>
      <c r="E229" s="175"/>
      <c r="F229" s="175"/>
      <c r="G229" s="175"/>
      <c r="H229" s="175"/>
      <c r="I229" s="175"/>
      <c r="J229" s="175"/>
      <c r="K229" s="175"/>
      <c r="L229" s="175"/>
      <c r="M229" s="175"/>
      <c r="N229" s="175"/>
      <c r="O229" s="175"/>
      <c r="P229" s="175"/>
    </row>
    <row r="230">
      <c r="A230" s="175"/>
      <c r="B230" s="175"/>
      <c r="C230" s="175"/>
      <c r="D230" s="175"/>
      <c r="E230" s="175"/>
      <c r="F230" s="175"/>
      <c r="G230" s="175"/>
      <c r="H230" s="175"/>
      <c r="I230" s="175"/>
      <c r="J230" s="175"/>
      <c r="K230" s="175"/>
      <c r="L230" s="175"/>
      <c r="M230" s="175"/>
      <c r="N230" s="175"/>
      <c r="O230" s="175"/>
      <c r="P230" s="175"/>
    </row>
    <row r="231">
      <c r="A231" s="175"/>
      <c r="B231" s="175"/>
      <c r="C231" s="175"/>
      <c r="D231" s="175"/>
      <c r="E231" s="175"/>
      <c r="F231" s="175"/>
      <c r="G231" s="175"/>
      <c r="H231" s="175"/>
      <c r="I231" s="175"/>
      <c r="J231" s="175"/>
      <c r="K231" s="175"/>
      <c r="L231" s="175"/>
      <c r="M231" s="175"/>
      <c r="N231" s="175"/>
      <c r="O231" s="175"/>
      <c r="P231" s="175"/>
    </row>
    <row r="232">
      <c r="A232" s="175"/>
      <c r="B232" s="175"/>
      <c r="C232" s="175"/>
      <c r="D232" s="175"/>
      <c r="E232" s="175"/>
      <c r="F232" s="175"/>
      <c r="G232" s="175"/>
      <c r="H232" s="175"/>
      <c r="I232" s="175"/>
      <c r="J232" s="175"/>
      <c r="K232" s="175"/>
      <c r="L232" s="175"/>
      <c r="M232" s="175"/>
      <c r="N232" s="175"/>
      <c r="O232" s="175"/>
      <c r="P232" s="175"/>
    </row>
    <row r="233">
      <c r="A233" s="175"/>
      <c r="B233" s="175"/>
      <c r="C233" s="175"/>
      <c r="D233" s="175"/>
      <c r="E233" s="175"/>
      <c r="F233" s="175"/>
      <c r="G233" s="175"/>
      <c r="H233" s="175"/>
      <c r="I233" s="175"/>
      <c r="J233" s="175"/>
      <c r="K233" s="175"/>
      <c r="L233" s="175"/>
      <c r="M233" s="175"/>
      <c r="N233" s="175"/>
      <c r="O233" s="175"/>
      <c r="P233" s="175"/>
    </row>
    <row r="234">
      <c r="A234" s="175"/>
      <c r="B234" s="175"/>
      <c r="C234" s="175"/>
      <c r="D234" s="175"/>
      <c r="E234" s="175"/>
      <c r="F234" s="175"/>
      <c r="G234" s="175"/>
      <c r="H234" s="175"/>
      <c r="I234" s="175"/>
      <c r="J234" s="175"/>
      <c r="K234" s="175"/>
      <c r="L234" s="175"/>
      <c r="M234" s="175"/>
      <c r="N234" s="175"/>
      <c r="O234" s="175"/>
      <c r="P234" s="175"/>
    </row>
    <row r="235">
      <c r="A235" s="175"/>
      <c r="B235" s="175"/>
      <c r="C235" s="175"/>
      <c r="D235" s="175"/>
      <c r="E235" s="175"/>
      <c r="F235" s="175"/>
      <c r="G235" s="175"/>
      <c r="H235" s="175"/>
      <c r="I235" s="175"/>
      <c r="J235" s="175"/>
      <c r="K235" s="175"/>
      <c r="L235" s="175"/>
      <c r="M235" s="175"/>
      <c r="N235" s="175"/>
      <c r="O235" s="175"/>
      <c r="P235" s="175"/>
    </row>
    <row r="236">
      <c r="A236" s="175"/>
      <c r="B236" s="175"/>
      <c r="C236" s="175"/>
      <c r="D236" s="175"/>
      <c r="E236" s="175"/>
      <c r="F236" s="175"/>
      <c r="G236" s="175"/>
      <c r="H236" s="175"/>
      <c r="I236" s="175"/>
      <c r="J236" s="175"/>
      <c r="K236" s="175"/>
      <c r="L236" s="175"/>
      <c r="M236" s="175"/>
      <c r="N236" s="175"/>
      <c r="O236" s="175"/>
      <c r="P236" s="175"/>
    </row>
    <row r="237">
      <c r="A237" s="175"/>
      <c r="B237" s="175"/>
      <c r="C237" s="175"/>
      <c r="D237" s="175"/>
      <c r="E237" s="175"/>
      <c r="F237" s="175"/>
      <c r="G237" s="175"/>
      <c r="H237" s="175"/>
      <c r="I237" s="175"/>
      <c r="J237" s="175"/>
      <c r="K237" s="175"/>
      <c r="L237" s="175"/>
      <c r="M237" s="175"/>
      <c r="N237" s="175"/>
      <c r="O237" s="175"/>
      <c r="P237" s="175"/>
    </row>
    <row r="238">
      <c r="A238" s="175"/>
      <c r="B238" s="175"/>
      <c r="C238" s="175"/>
      <c r="D238" s="175"/>
      <c r="E238" s="175"/>
      <c r="F238" s="175"/>
      <c r="G238" s="175"/>
      <c r="H238" s="175"/>
      <c r="I238" s="175"/>
      <c r="J238" s="175"/>
      <c r="K238" s="175"/>
      <c r="L238" s="175"/>
      <c r="M238" s="175"/>
      <c r="N238" s="175"/>
      <c r="O238" s="175"/>
      <c r="P238" s="175"/>
    </row>
    <row r="239">
      <c r="A239" s="175"/>
      <c r="B239" s="175"/>
      <c r="C239" s="175"/>
      <c r="D239" s="175"/>
      <c r="E239" s="175"/>
      <c r="F239" s="175"/>
      <c r="G239" s="175"/>
      <c r="H239" s="175"/>
      <c r="I239" s="175"/>
      <c r="J239" s="175"/>
      <c r="K239" s="175"/>
      <c r="L239" s="175"/>
      <c r="M239" s="175"/>
      <c r="N239" s="175"/>
      <c r="O239" s="175"/>
      <c r="P239" s="175"/>
    </row>
    <row r="240">
      <c r="A240" s="175"/>
      <c r="B240" s="175"/>
      <c r="C240" s="175"/>
      <c r="D240" s="175"/>
      <c r="E240" s="175"/>
      <c r="F240" s="175"/>
      <c r="G240" s="175"/>
      <c r="H240" s="175"/>
      <c r="I240" s="175"/>
      <c r="J240" s="175"/>
      <c r="K240" s="175"/>
      <c r="L240" s="175"/>
      <c r="M240" s="175"/>
      <c r="N240" s="175"/>
      <c r="O240" s="175"/>
      <c r="P240" s="175"/>
    </row>
    <row r="241">
      <c r="A241" s="175"/>
      <c r="B241" s="175"/>
      <c r="C241" s="175"/>
      <c r="D241" s="175"/>
      <c r="E241" s="175"/>
      <c r="F241" s="175"/>
      <c r="G241" s="175"/>
      <c r="H241" s="175"/>
      <c r="I241" s="175"/>
      <c r="J241" s="175"/>
      <c r="K241" s="175"/>
      <c r="L241" s="175"/>
      <c r="M241" s="175"/>
      <c r="N241" s="175"/>
      <c r="O241" s="175"/>
      <c r="P241" s="175"/>
    </row>
    <row r="242">
      <c r="A242" s="175"/>
      <c r="B242" s="175"/>
      <c r="C242" s="175"/>
      <c r="D242" s="175"/>
      <c r="E242" s="175"/>
      <c r="F242" s="175"/>
      <c r="G242" s="175"/>
      <c r="H242" s="175"/>
      <c r="I242" s="175"/>
      <c r="J242" s="175"/>
      <c r="K242" s="175"/>
      <c r="L242" s="175"/>
      <c r="M242" s="175"/>
      <c r="N242" s="175"/>
      <c r="O242" s="175"/>
      <c r="P242" s="175"/>
    </row>
    <row r="243">
      <c r="A243" s="175"/>
      <c r="B243" s="175"/>
      <c r="C243" s="175"/>
      <c r="D243" s="175"/>
      <c r="E243" s="175"/>
      <c r="F243" s="175"/>
      <c r="G243" s="175"/>
      <c r="H243" s="175"/>
      <c r="I243" s="175"/>
      <c r="J243" s="175"/>
      <c r="K243" s="175"/>
      <c r="L243" s="175"/>
      <c r="M243" s="175"/>
      <c r="N243" s="175"/>
      <c r="O243" s="175"/>
      <c r="P243" s="175"/>
    </row>
    <row r="244">
      <c r="A244" s="175"/>
      <c r="B244" s="175"/>
      <c r="C244" s="175"/>
      <c r="D244" s="175"/>
      <c r="E244" s="175"/>
      <c r="F244" s="175"/>
      <c r="G244" s="175"/>
      <c r="H244" s="175"/>
      <c r="I244" s="175"/>
      <c r="J244" s="175"/>
      <c r="K244" s="175"/>
      <c r="L244" s="175"/>
      <c r="M244" s="175"/>
      <c r="N244" s="175"/>
      <c r="O244" s="175"/>
      <c r="P244" s="175"/>
    </row>
    <row r="245">
      <c r="A245" s="175"/>
      <c r="B245" s="175"/>
      <c r="C245" s="175"/>
      <c r="D245" s="175"/>
      <c r="E245" s="175"/>
      <c r="F245" s="175"/>
      <c r="G245" s="175"/>
      <c r="H245" s="175"/>
      <c r="I245" s="175"/>
      <c r="J245" s="175"/>
      <c r="K245" s="175"/>
      <c r="L245" s="175"/>
      <c r="M245" s="175"/>
      <c r="N245" s="175"/>
      <c r="O245" s="175"/>
      <c r="P245" s="175"/>
    </row>
    <row r="246">
      <c r="A246" s="175"/>
      <c r="B246" s="175"/>
      <c r="C246" s="175"/>
      <c r="D246" s="175"/>
      <c r="E246" s="175"/>
      <c r="F246" s="175"/>
      <c r="G246" s="175"/>
      <c r="H246" s="175"/>
      <c r="I246" s="175"/>
      <c r="J246" s="175"/>
      <c r="K246" s="175"/>
      <c r="L246" s="175"/>
      <c r="M246" s="175"/>
      <c r="N246" s="175"/>
      <c r="O246" s="175"/>
      <c r="P246" s="175"/>
    </row>
    <row r="247">
      <c r="A247" s="175"/>
      <c r="B247" s="175"/>
      <c r="C247" s="175"/>
      <c r="D247" s="175"/>
      <c r="E247" s="175"/>
      <c r="F247" s="175"/>
      <c r="G247" s="175"/>
      <c r="H247" s="175"/>
      <c r="I247" s="175"/>
      <c r="J247" s="175"/>
      <c r="K247" s="175"/>
      <c r="L247" s="175"/>
      <c r="M247" s="175"/>
      <c r="N247" s="175"/>
      <c r="O247" s="175"/>
      <c r="P247" s="175"/>
    </row>
    <row r="248">
      <c r="A248" s="175"/>
      <c r="B248" s="175"/>
      <c r="C248" s="175"/>
      <c r="D248" s="175"/>
      <c r="E248" s="175"/>
      <c r="F248" s="175"/>
      <c r="G248" s="175"/>
      <c r="H248" s="175"/>
      <c r="I248" s="175"/>
      <c r="J248" s="175"/>
      <c r="K248" s="175"/>
      <c r="L248" s="175"/>
      <c r="M248" s="175"/>
      <c r="N248" s="175"/>
      <c r="O248" s="175"/>
      <c r="P248" s="175"/>
    </row>
    <row r="249">
      <c r="A249" s="175"/>
      <c r="B249" s="175"/>
      <c r="C249" s="175"/>
      <c r="D249" s="175"/>
      <c r="E249" s="175"/>
      <c r="F249" s="175"/>
      <c r="G249" s="175"/>
      <c r="H249" s="175"/>
      <c r="I249" s="175"/>
      <c r="J249" s="175"/>
      <c r="K249" s="175"/>
      <c r="L249" s="175"/>
      <c r="M249" s="175"/>
      <c r="N249" s="175"/>
      <c r="O249" s="175"/>
      <c r="P249" s="175"/>
    </row>
    <row r="250">
      <c r="A250" s="175"/>
      <c r="B250" s="175"/>
      <c r="C250" s="175"/>
      <c r="D250" s="175"/>
      <c r="E250" s="175"/>
      <c r="F250" s="175"/>
      <c r="G250" s="175"/>
      <c r="H250" s="175"/>
      <c r="I250" s="175"/>
      <c r="J250" s="175"/>
      <c r="K250" s="175"/>
      <c r="L250" s="175"/>
      <c r="M250" s="175"/>
      <c r="N250" s="175"/>
      <c r="O250" s="175"/>
      <c r="P250" s="175"/>
    </row>
    <row r="251">
      <c r="A251" s="175"/>
      <c r="B251" s="175"/>
      <c r="C251" s="175"/>
      <c r="D251" s="175"/>
      <c r="E251" s="175"/>
      <c r="F251" s="175"/>
      <c r="G251" s="175"/>
      <c r="H251" s="175"/>
      <c r="I251" s="175"/>
      <c r="J251" s="175"/>
      <c r="K251" s="175"/>
      <c r="L251" s="175"/>
      <c r="M251" s="175"/>
      <c r="N251" s="175"/>
      <c r="O251" s="175"/>
      <c r="P251" s="175"/>
    </row>
    <row r="252">
      <c r="A252" s="175"/>
      <c r="B252" s="175"/>
      <c r="C252" s="175"/>
      <c r="D252" s="175"/>
      <c r="E252" s="175"/>
      <c r="F252" s="175"/>
      <c r="G252" s="175"/>
      <c r="H252" s="175"/>
      <c r="I252" s="175"/>
      <c r="J252" s="175"/>
      <c r="K252" s="175"/>
      <c r="L252" s="175"/>
      <c r="M252" s="175"/>
      <c r="N252" s="175"/>
      <c r="O252" s="175"/>
      <c r="P252" s="175"/>
    </row>
    <row r="253">
      <c r="A253" s="175"/>
      <c r="B253" s="175"/>
      <c r="C253" s="175"/>
      <c r="D253" s="175"/>
      <c r="E253" s="175"/>
      <c r="F253" s="175"/>
      <c r="G253" s="175"/>
      <c r="H253" s="175"/>
      <c r="I253" s="175"/>
      <c r="J253" s="175"/>
      <c r="K253" s="175"/>
      <c r="L253" s="175"/>
      <c r="M253" s="175"/>
      <c r="N253" s="175"/>
      <c r="O253" s="175"/>
      <c r="P253" s="175"/>
    </row>
    <row r="254">
      <c r="A254" s="175"/>
      <c r="B254" s="175"/>
      <c r="C254" s="175"/>
      <c r="D254" s="175"/>
      <c r="E254" s="175"/>
      <c r="F254" s="175"/>
      <c r="G254" s="175"/>
      <c r="H254" s="175"/>
      <c r="I254" s="175"/>
      <c r="J254" s="175"/>
      <c r="K254" s="175"/>
      <c r="L254" s="175"/>
      <c r="M254" s="175"/>
      <c r="N254" s="175"/>
      <c r="O254" s="175"/>
      <c r="P254" s="175"/>
    </row>
    <row r="255">
      <c r="A255" s="175"/>
      <c r="B255" s="175"/>
      <c r="C255" s="175"/>
      <c r="D255" s="175"/>
      <c r="E255" s="175"/>
      <c r="F255" s="175"/>
      <c r="G255" s="175"/>
      <c r="H255" s="175"/>
      <c r="I255" s="175"/>
      <c r="J255" s="175"/>
      <c r="K255" s="175"/>
      <c r="L255" s="175"/>
      <c r="M255" s="175"/>
      <c r="N255" s="175"/>
      <c r="O255" s="175"/>
      <c r="P255" s="175"/>
    </row>
    <row r="256">
      <c r="A256" s="175"/>
      <c r="B256" s="175"/>
      <c r="C256" s="175"/>
      <c r="D256" s="175"/>
      <c r="E256" s="175"/>
      <c r="F256" s="175"/>
      <c r="G256" s="175"/>
      <c r="H256" s="175"/>
      <c r="I256" s="175"/>
      <c r="J256" s="175"/>
      <c r="K256" s="175"/>
      <c r="L256" s="175"/>
      <c r="M256" s="175"/>
      <c r="N256" s="175"/>
      <c r="O256" s="175"/>
      <c r="P256" s="175"/>
    </row>
    <row r="257">
      <c r="A257" s="175"/>
      <c r="B257" s="175"/>
      <c r="C257" s="175"/>
      <c r="D257" s="175"/>
      <c r="E257" s="175"/>
      <c r="F257" s="175"/>
      <c r="G257" s="175"/>
      <c r="H257" s="175"/>
      <c r="I257" s="175"/>
      <c r="J257" s="175"/>
      <c r="K257" s="175"/>
      <c r="L257" s="175"/>
      <c r="M257" s="175"/>
      <c r="N257" s="175"/>
      <c r="O257" s="175"/>
      <c r="P257" s="175"/>
    </row>
    <row r="258">
      <c r="A258" s="175"/>
      <c r="B258" s="175"/>
      <c r="C258" s="175"/>
      <c r="D258" s="175"/>
      <c r="E258" s="175"/>
      <c r="F258" s="175"/>
      <c r="G258" s="175"/>
      <c r="H258" s="175"/>
      <c r="I258" s="175"/>
      <c r="J258" s="175"/>
      <c r="K258" s="175"/>
      <c r="L258" s="175"/>
      <c r="M258" s="175"/>
      <c r="N258" s="175"/>
      <c r="O258" s="175"/>
      <c r="P258" s="175"/>
    </row>
    <row r="259">
      <c r="A259" s="175"/>
      <c r="B259" s="175"/>
      <c r="C259" s="175"/>
      <c r="D259" s="175"/>
      <c r="E259" s="175"/>
      <c r="F259" s="175"/>
      <c r="G259" s="175"/>
      <c r="H259" s="175"/>
      <c r="I259" s="175"/>
      <c r="J259" s="175"/>
      <c r="K259" s="175"/>
      <c r="L259" s="175"/>
      <c r="M259" s="175"/>
      <c r="N259" s="175"/>
      <c r="O259" s="175"/>
      <c r="P259" s="175"/>
    </row>
    <row r="260">
      <c r="A260" s="175"/>
      <c r="B260" s="175"/>
      <c r="C260" s="175"/>
      <c r="D260" s="175"/>
      <c r="E260" s="175"/>
      <c r="F260" s="175"/>
      <c r="G260" s="175"/>
      <c r="H260" s="175"/>
      <c r="I260" s="175"/>
      <c r="J260" s="175"/>
      <c r="K260" s="175"/>
      <c r="L260" s="175"/>
      <c r="M260" s="175"/>
      <c r="N260" s="175"/>
      <c r="O260" s="175"/>
      <c r="P260" s="175"/>
    </row>
    <row r="261">
      <c r="A261" s="175"/>
      <c r="B261" s="175"/>
      <c r="C261" s="175"/>
      <c r="D261" s="175"/>
      <c r="E261" s="175"/>
      <c r="F261" s="175"/>
      <c r="G261" s="175"/>
      <c r="H261" s="175"/>
      <c r="I261" s="175"/>
      <c r="J261" s="175"/>
      <c r="K261" s="175"/>
      <c r="L261" s="175"/>
      <c r="M261" s="175"/>
      <c r="N261" s="175"/>
      <c r="O261" s="175"/>
      <c r="P261" s="175"/>
    </row>
    <row r="262">
      <c r="A262" s="175"/>
      <c r="B262" s="175"/>
      <c r="C262" s="175"/>
      <c r="D262" s="175"/>
      <c r="E262" s="175"/>
      <c r="F262" s="175"/>
      <c r="G262" s="175"/>
      <c r="H262" s="175"/>
      <c r="I262" s="175"/>
      <c r="J262" s="175"/>
      <c r="K262" s="175"/>
      <c r="L262" s="175"/>
      <c r="M262" s="175"/>
      <c r="N262" s="175"/>
      <c r="O262" s="175"/>
      <c r="P262" s="175"/>
    </row>
    <row r="263">
      <c r="A263" s="175"/>
      <c r="B263" s="175"/>
      <c r="C263" s="175"/>
      <c r="D263" s="175"/>
      <c r="E263" s="175"/>
      <c r="F263" s="175"/>
      <c r="G263" s="175"/>
      <c r="H263" s="175"/>
      <c r="I263" s="175"/>
      <c r="J263" s="175"/>
      <c r="K263" s="175"/>
      <c r="L263" s="175"/>
      <c r="M263" s="175"/>
      <c r="N263" s="175"/>
      <c r="O263" s="175"/>
      <c r="P263" s="175"/>
    </row>
    <row r="264">
      <c r="A264" s="175"/>
      <c r="B264" s="175"/>
      <c r="C264" s="175"/>
      <c r="D264" s="175"/>
      <c r="E264" s="175"/>
      <c r="F264" s="175"/>
      <c r="G264" s="175"/>
      <c r="H264" s="175"/>
      <c r="I264" s="175"/>
      <c r="J264" s="175"/>
      <c r="K264" s="175"/>
      <c r="L264" s="175"/>
      <c r="M264" s="175"/>
      <c r="N264" s="175"/>
      <c r="O264" s="175"/>
      <c r="P264" s="175"/>
    </row>
    <row r="265">
      <c r="A265" s="175"/>
      <c r="B265" s="175"/>
      <c r="C265" s="175"/>
      <c r="D265" s="175"/>
      <c r="E265" s="175"/>
      <c r="F265" s="175"/>
      <c r="G265" s="175"/>
      <c r="H265" s="175"/>
      <c r="I265" s="175"/>
      <c r="J265" s="175"/>
      <c r="K265" s="175"/>
      <c r="L265" s="175"/>
      <c r="M265" s="175"/>
      <c r="N265" s="175"/>
      <c r="O265" s="175"/>
      <c r="P265" s="175"/>
    </row>
    <row r="266">
      <c r="A266" s="175"/>
      <c r="B266" s="175"/>
      <c r="C266" s="175"/>
      <c r="D266" s="175"/>
      <c r="E266" s="175"/>
      <c r="F266" s="175"/>
      <c r="G266" s="175"/>
      <c r="H266" s="175"/>
      <c r="I266" s="175"/>
      <c r="J266" s="175"/>
      <c r="K266" s="175"/>
      <c r="L266" s="175"/>
      <c r="M266" s="175"/>
      <c r="N266" s="175"/>
      <c r="O266" s="175"/>
      <c r="P266" s="175"/>
    </row>
    <row r="267">
      <c r="A267" s="175"/>
      <c r="B267" s="175"/>
      <c r="C267" s="175"/>
      <c r="D267" s="175"/>
      <c r="E267" s="175"/>
      <c r="F267" s="175"/>
      <c r="G267" s="175"/>
      <c r="H267" s="175"/>
      <c r="I267" s="175"/>
      <c r="J267" s="175"/>
      <c r="K267" s="175"/>
      <c r="L267" s="175"/>
      <c r="M267" s="175"/>
      <c r="N267" s="175"/>
      <c r="O267" s="175"/>
      <c r="P267" s="175"/>
    </row>
    <row r="268">
      <c r="A268" s="175"/>
      <c r="B268" s="175"/>
      <c r="C268" s="175"/>
      <c r="D268" s="175"/>
      <c r="E268" s="175"/>
      <c r="F268" s="175"/>
      <c r="G268" s="175"/>
      <c r="H268" s="175"/>
      <c r="I268" s="175"/>
      <c r="J268" s="175"/>
      <c r="K268" s="175"/>
      <c r="L268" s="175"/>
      <c r="M268" s="175"/>
      <c r="N268" s="175"/>
      <c r="O268" s="175"/>
      <c r="P268" s="175"/>
    </row>
    <row r="269">
      <c r="A269" s="175"/>
      <c r="B269" s="175"/>
      <c r="C269" s="175"/>
      <c r="D269" s="175"/>
      <c r="E269" s="175"/>
      <c r="F269" s="175"/>
      <c r="G269" s="175"/>
      <c r="H269" s="175"/>
      <c r="I269" s="175"/>
      <c r="J269" s="175"/>
      <c r="K269" s="175"/>
      <c r="L269" s="175"/>
      <c r="M269" s="175"/>
      <c r="N269" s="175"/>
      <c r="O269" s="175"/>
      <c r="P269" s="175"/>
    </row>
    <row r="270">
      <c r="A270" s="175"/>
      <c r="B270" s="175"/>
      <c r="C270" s="175"/>
      <c r="D270" s="175"/>
      <c r="E270" s="175"/>
      <c r="F270" s="175"/>
      <c r="G270" s="175"/>
      <c r="H270" s="175"/>
      <c r="I270" s="175"/>
      <c r="J270" s="175"/>
      <c r="K270" s="175"/>
      <c r="L270" s="175"/>
      <c r="M270" s="175"/>
      <c r="N270" s="175"/>
      <c r="O270" s="175"/>
      <c r="P270" s="175"/>
    </row>
    <row r="271">
      <c r="A271" s="175"/>
      <c r="B271" s="175"/>
      <c r="C271" s="175"/>
      <c r="D271" s="175"/>
      <c r="E271" s="175"/>
      <c r="F271" s="175"/>
      <c r="G271" s="175"/>
      <c r="H271" s="175"/>
      <c r="I271" s="175"/>
      <c r="J271" s="175"/>
      <c r="K271" s="175"/>
      <c r="L271" s="175"/>
      <c r="M271" s="175"/>
      <c r="N271" s="175"/>
      <c r="O271" s="175"/>
      <c r="P271" s="175"/>
    </row>
    <row r="272">
      <c r="A272" s="175"/>
      <c r="B272" s="175"/>
      <c r="C272" s="175"/>
      <c r="D272" s="175"/>
      <c r="E272" s="175"/>
      <c r="F272" s="175"/>
      <c r="G272" s="175"/>
      <c r="H272" s="175"/>
      <c r="I272" s="175"/>
      <c r="J272" s="175"/>
      <c r="K272" s="175"/>
      <c r="L272" s="175"/>
      <c r="M272" s="175"/>
      <c r="N272" s="175"/>
      <c r="O272" s="175"/>
      <c r="P272" s="175"/>
    </row>
    <row r="273">
      <c r="A273" s="175"/>
      <c r="B273" s="175"/>
      <c r="C273" s="175"/>
      <c r="D273" s="175"/>
      <c r="E273" s="175"/>
      <c r="F273" s="175"/>
      <c r="G273" s="175"/>
      <c r="H273" s="175"/>
      <c r="I273" s="175"/>
      <c r="J273" s="175"/>
      <c r="K273" s="175"/>
      <c r="L273" s="175"/>
      <c r="M273" s="175"/>
      <c r="N273" s="175"/>
      <c r="O273" s="175"/>
      <c r="P273" s="175"/>
    </row>
    <row r="274">
      <c r="A274" s="175"/>
      <c r="B274" s="175"/>
      <c r="C274" s="175"/>
      <c r="D274" s="175"/>
      <c r="E274" s="175"/>
      <c r="F274" s="175"/>
      <c r="G274" s="175"/>
      <c r="H274" s="175"/>
      <c r="I274" s="175"/>
      <c r="J274" s="175"/>
      <c r="K274" s="175"/>
      <c r="L274" s="175"/>
      <c r="M274" s="175"/>
      <c r="N274" s="175"/>
      <c r="O274" s="175"/>
      <c r="P274" s="175"/>
    </row>
    <row r="275">
      <c r="A275" s="175"/>
      <c r="B275" s="175"/>
      <c r="C275" s="175"/>
      <c r="D275" s="175"/>
      <c r="E275" s="175"/>
      <c r="F275" s="175"/>
      <c r="G275" s="175"/>
      <c r="H275" s="175"/>
      <c r="I275" s="175"/>
      <c r="J275" s="175"/>
      <c r="K275" s="175"/>
      <c r="L275" s="175"/>
      <c r="M275" s="175"/>
      <c r="N275" s="175"/>
      <c r="O275" s="175"/>
      <c r="P275" s="175"/>
    </row>
    <row r="276">
      <c r="A276" s="175"/>
      <c r="B276" s="175"/>
      <c r="C276" s="175"/>
      <c r="D276" s="175"/>
      <c r="E276" s="175"/>
      <c r="F276" s="175"/>
      <c r="G276" s="175"/>
      <c r="H276" s="175"/>
      <c r="I276" s="175"/>
      <c r="J276" s="175"/>
      <c r="K276" s="175"/>
      <c r="L276" s="175"/>
      <c r="M276" s="175"/>
      <c r="N276" s="175"/>
      <c r="O276" s="175"/>
      <c r="P276" s="175"/>
    </row>
    <row r="277">
      <c r="A277" s="175"/>
      <c r="B277" s="175"/>
      <c r="C277" s="175"/>
      <c r="D277" s="175"/>
      <c r="E277" s="175"/>
      <c r="F277" s="175"/>
      <c r="G277" s="175"/>
      <c r="H277" s="175"/>
      <c r="I277" s="175"/>
      <c r="J277" s="175"/>
      <c r="K277" s="175"/>
      <c r="L277" s="175"/>
      <c r="M277" s="175"/>
      <c r="N277" s="175"/>
      <c r="O277" s="175"/>
      <c r="P277" s="175"/>
    </row>
    <row r="278">
      <c r="A278" s="175"/>
      <c r="B278" s="175"/>
      <c r="C278" s="175"/>
      <c r="D278" s="175"/>
      <c r="E278" s="175"/>
      <c r="F278" s="175"/>
      <c r="G278" s="175"/>
      <c r="H278" s="175"/>
      <c r="I278" s="175"/>
      <c r="J278" s="175"/>
      <c r="K278" s="175"/>
      <c r="L278" s="175"/>
      <c r="M278" s="175"/>
      <c r="N278" s="175"/>
      <c r="O278" s="175"/>
      <c r="P278" s="175"/>
    </row>
    <row r="279">
      <c r="A279" s="175"/>
      <c r="B279" s="175"/>
      <c r="C279" s="175"/>
      <c r="D279" s="175"/>
      <c r="E279" s="175"/>
      <c r="F279" s="175"/>
      <c r="G279" s="175"/>
      <c r="H279" s="175"/>
      <c r="I279" s="175"/>
      <c r="J279" s="175"/>
      <c r="K279" s="175"/>
      <c r="L279" s="175"/>
      <c r="M279" s="175"/>
      <c r="N279" s="175"/>
      <c r="O279" s="175"/>
      <c r="P279" s="175"/>
    </row>
    <row r="280">
      <c r="A280" s="175"/>
      <c r="B280" s="175"/>
      <c r="C280" s="175"/>
      <c r="D280" s="175"/>
      <c r="E280" s="175"/>
      <c r="F280" s="175"/>
      <c r="G280" s="175"/>
      <c r="H280" s="175"/>
      <c r="I280" s="175"/>
      <c r="J280" s="175"/>
      <c r="K280" s="175"/>
      <c r="L280" s="175"/>
      <c r="M280" s="175"/>
      <c r="N280" s="175"/>
      <c r="O280" s="175"/>
      <c r="P280" s="175"/>
    </row>
    <row r="281">
      <c r="A281" s="175"/>
      <c r="B281" s="175"/>
      <c r="C281" s="175"/>
      <c r="D281" s="175"/>
      <c r="E281" s="175"/>
      <c r="F281" s="175"/>
      <c r="G281" s="175"/>
      <c r="H281" s="175"/>
      <c r="I281" s="175"/>
      <c r="J281" s="175"/>
      <c r="K281" s="175"/>
      <c r="L281" s="175"/>
      <c r="M281" s="175"/>
      <c r="N281" s="175"/>
      <c r="O281" s="175"/>
      <c r="P281" s="175"/>
    </row>
    <row r="282">
      <c r="A282" s="175"/>
      <c r="B282" s="175"/>
      <c r="C282" s="175"/>
      <c r="D282" s="175"/>
      <c r="E282" s="175"/>
      <c r="F282" s="175"/>
      <c r="G282" s="175"/>
      <c r="H282" s="175"/>
      <c r="I282" s="175"/>
      <c r="J282" s="175"/>
      <c r="K282" s="175"/>
      <c r="L282" s="175"/>
      <c r="M282" s="175"/>
      <c r="N282" s="175"/>
      <c r="O282" s="175"/>
      <c r="P282" s="175"/>
    </row>
    <row r="283">
      <c r="A283" s="175"/>
      <c r="B283" s="175"/>
      <c r="C283" s="175"/>
      <c r="D283" s="175"/>
      <c r="E283" s="175"/>
      <c r="F283" s="175"/>
      <c r="G283" s="175"/>
      <c r="H283" s="175"/>
      <c r="I283" s="175"/>
      <c r="J283" s="175"/>
      <c r="K283" s="175"/>
      <c r="L283" s="175"/>
      <c r="M283" s="175"/>
      <c r="N283" s="175"/>
      <c r="O283" s="175"/>
      <c r="P283" s="175"/>
    </row>
    <row r="284">
      <c r="A284" s="175"/>
      <c r="B284" s="175"/>
      <c r="C284" s="175"/>
      <c r="D284" s="175"/>
      <c r="E284" s="175"/>
      <c r="F284" s="175"/>
      <c r="G284" s="175"/>
      <c r="H284" s="175"/>
      <c r="I284" s="175"/>
      <c r="J284" s="175"/>
      <c r="K284" s="175"/>
      <c r="L284" s="175"/>
      <c r="M284" s="175"/>
      <c r="N284" s="175"/>
      <c r="O284" s="175"/>
      <c r="P284" s="175"/>
    </row>
    <row r="285">
      <c r="A285" s="175"/>
      <c r="B285" s="175"/>
      <c r="C285" s="175"/>
      <c r="D285" s="175"/>
      <c r="E285" s="175"/>
      <c r="F285" s="175"/>
      <c r="G285" s="175"/>
      <c r="H285" s="175"/>
      <c r="I285" s="175"/>
      <c r="J285" s="175"/>
      <c r="K285" s="175"/>
      <c r="L285" s="175"/>
      <c r="M285" s="175"/>
      <c r="N285" s="175"/>
      <c r="O285" s="175"/>
      <c r="P285" s="175"/>
    </row>
    <row r="286">
      <c r="A286" s="175"/>
      <c r="B286" s="175"/>
      <c r="C286" s="175"/>
      <c r="D286" s="175"/>
      <c r="E286" s="175"/>
      <c r="F286" s="175"/>
      <c r="G286" s="175"/>
      <c r="H286" s="175"/>
      <c r="I286" s="175"/>
      <c r="J286" s="175"/>
      <c r="K286" s="175"/>
      <c r="L286" s="175"/>
      <c r="M286" s="175"/>
      <c r="N286" s="175"/>
      <c r="O286" s="175"/>
      <c r="P286" s="175"/>
    </row>
    <row r="287">
      <c r="A287" s="175"/>
      <c r="B287" s="175"/>
      <c r="C287" s="175"/>
      <c r="D287" s="175"/>
      <c r="E287" s="175"/>
      <c r="F287" s="175"/>
      <c r="G287" s="175"/>
      <c r="H287" s="175"/>
      <c r="I287" s="175"/>
      <c r="J287" s="175"/>
      <c r="K287" s="175"/>
      <c r="L287" s="175"/>
      <c r="M287" s="175"/>
      <c r="N287" s="175"/>
      <c r="O287" s="175"/>
      <c r="P287" s="175"/>
    </row>
    <row r="288">
      <c r="A288" s="175"/>
      <c r="B288" s="175"/>
      <c r="C288" s="175"/>
      <c r="D288" s="175"/>
      <c r="E288" s="175"/>
      <c r="F288" s="175"/>
      <c r="G288" s="175"/>
      <c r="H288" s="175"/>
      <c r="I288" s="175"/>
      <c r="J288" s="175"/>
      <c r="K288" s="175"/>
      <c r="L288" s="175"/>
      <c r="M288" s="175"/>
      <c r="N288" s="175"/>
      <c r="O288" s="175"/>
      <c r="P288" s="175"/>
    </row>
    <row r="289">
      <c r="A289" s="175"/>
      <c r="B289" s="175"/>
      <c r="C289" s="175"/>
      <c r="D289" s="175"/>
      <c r="E289" s="175"/>
      <c r="F289" s="175"/>
      <c r="G289" s="175"/>
      <c r="H289" s="175"/>
      <c r="I289" s="175"/>
      <c r="J289" s="175"/>
      <c r="K289" s="175"/>
      <c r="L289" s="175"/>
      <c r="M289" s="175"/>
      <c r="N289" s="175"/>
      <c r="O289" s="175"/>
      <c r="P289" s="175"/>
    </row>
    <row r="290">
      <c r="A290" s="175"/>
      <c r="B290" s="175"/>
      <c r="C290" s="175"/>
      <c r="D290" s="175"/>
      <c r="E290" s="175"/>
      <c r="F290" s="175"/>
      <c r="G290" s="175"/>
      <c r="H290" s="175"/>
      <c r="I290" s="175"/>
      <c r="J290" s="175"/>
      <c r="K290" s="175"/>
      <c r="L290" s="175"/>
      <c r="M290" s="175"/>
      <c r="N290" s="175"/>
      <c r="O290" s="175"/>
      <c r="P290" s="175"/>
    </row>
    <row r="291">
      <c r="A291" s="175"/>
      <c r="B291" s="175"/>
      <c r="C291" s="175"/>
      <c r="D291" s="175"/>
      <c r="E291" s="175"/>
      <c r="F291" s="175"/>
      <c r="G291" s="175"/>
      <c r="H291" s="175"/>
      <c r="I291" s="175"/>
      <c r="J291" s="175"/>
      <c r="K291" s="175"/>
      <c r="L291" s="175"/>
      <c r="M291" s="175"/>
      <c r="N291" s="175"/>
      <c r="O291" s="175"/>
      <c r="P291" s="175"/>
    </row>
    <row r="292">
      <c r="A292" s="175"/>
      <c r="B292" s="175"/>
      <c r="C292" s="175"/>
      <c r="D292" s="175"/>
      <c r="E292" s="175"/>
      <c r="F292" s="175"/>
      <c r="G292" s="175"/>
      <c r="H292" s="175"/>
      <c r="I292" s="175"/>
      <c r="J292" s="175"/>
      <c r="K292" s="175"/>
      <c r="L292" s="175"/>
      <c r="M292" s="175"/>
      <c r="N292" s="175"/>
      <c r="O292" s="175"/>
      <c r="P292" s="175"/>
    </row>
    <row r="293">
      <c r="A293" s="175"/>
      <c r="B293" s="175"/>
      <c r="C293" s="175"/>
      <c r="D293" s="175"/>
      <c r="E293" s="175"/>
      <c r="F293" s="175"/>
      <c r="G293" s="175"/>
      <c r="H293" s="175"/>
      <c r="I293" s="175"/>
      <c r="J293" s="175"/>
      <c r="K293" s="175"/>
      <c r="L293" s="175"/>
      <c r="M293" s="175"/>
      <c r="N293" s="175"/>
      <c r="O293" s="175"/>
      <c r="P293" s="175"/>
    </row>
    <row r="294">
      <c r="A294" s="175"/>
      <c r="B294" s="175"/>
      <c r="C294" s="175"/>
      <c r="D294" s="175"/>
      <c r="E294" s="175"/>
      <c r="F294" s="175"/>
      <c r="G294" s="175"/>
      <c r="H294" s="175"/>
      <c r="I294" s="175"/>
      <c r="J294" s="175"/>
      <c r="K294" s="175"/>
      <c r="L294" s="175"/>
      <c r="M294" s="175"/>
      <c r="N294" s="175"/>
      <c r="O294" s="175"/>
      <c r="P294" s="175"/>
    </row>
    <row r="295">
      <c r="A295" s="175"/>
      <c r="B295" s="175"/>
      <c r="C295" s="175"/>
      <c r="D295" s="175"/>
      <c r="E295" s="175"/>
      <c r="F295" s="175"/>
      <c r="G295" s="175"/>
      <c r="H295" s="175"/>
      <c r="I295" s="175"/>
      <c r="J295" s="175"/>
      <c r="K295" s="175"/>
      <c r="L295" s="175"/>
      <c r="M295" s="175"/>
      <c r="N295" s="175"/>
      <c r="O295" s="175"/>
      <c r="P295" s="175"/>
    </row>
    <row r="296">
      <c r="A296" s="175"/>
      <c r="B296" s="175"/>
      <c r="C296" s="175"/>
      <c r="D296" s="175"/>
      <c r="E296" s="175"/>
      <c r="F296" s="175"/>
      <c r="G296" s="175"/>
      <c r="H296" s="175"/>
      <c r="I296" s="175"/>
      <c r="J296" s="175"/>
      <c r="K296" s="175"/>
      <c r="L296" s="175"/>
      <c r="M296" s="175"/>
      <c r="N296" s="175"/>
      <c r="O296" s="175"/>
      <c r="P296" s="175"/>
    </row>
    <row r="297">
      <c r="A297" s="175"/>
      <c r="B297" s="175"/>
      <c r="C297" s="175"/>
      <c r="D297" s="175"/>
      <c r="E297" s="175"/>
      <c r="F297" s="175"/>
      <c r="G297" s="175"/>
      <c r="H297" s="175"/>
      <c r="I297" s="175"/>
      <c r="J297" s="175"/>
      <c r="K297" s="175"/>
      <c r="L297" s="175"/>
      <c r="M297" s="175"/>
      <c r="N297" s="175"/>
      <c r="O297" s="175"/>
      <c r="P297" s="175"/>
    </row>
    <row r="298">
      <c r="A298" s="175"/>
      <c r="B298" s="175"/>
      <c r="C298" s="175"/>
      <c r="D298" s="175"/>
      <c r="E298" s="175"/>
      <c r="F298" s="175"/>
      <c r="G298" s="175"/>
      <c r="H298" s="175"/>
      <c r="I298" s="175"/>
      <c r="J298" s="175"/>
      <c r="K298" s="175"/>
      <c r="L298" s="175"/>
      <c r="M298" s="175"/>
      <c r="N298" s="175"/>
      <c r="O298" s="175"/>
      <c r="P298" s="175"/>
    </row>
    <row r="299">
      <c r="A299" s="175"/>
      <c r="B299" s="175"/>
      <c r="C299" s="175"/>
      <c r="D299" s="175"/>
      <c r="E299" s="175"/>
      <c r="F299" s="175"/>
      <c r="G299" s="175"/>
      <c r="H299" s="175"/>
      <c r="I299" s="175"/>
      <c r="J299" s="175"/>
      <c r="K299" s="175"/>
      <c r="L299" s="175"/>
      <c r="M299" s="175"/>
      <c r="N299" s="175"/>
      <c r="O299" s="175"/>
      <c r="P299" s="175"/>
    </row>
    <row r="300">
      <c r="A300" s="175"/>
      <c r="B300" s="175"/>
      <c r="C300" s="175"/>
      <c r="D300" s="175"/>
      <c r="E300" s="175"/>
      <c r="F300" s="175"/>
      <c r="G300" s="175"/>
      <c r="H300" s="175"/>
      <c r="I300" s="175"/>
      <c r="J300" s="175"/>
      <c r="K300" s="175"/>
      <c r="L300" s="175"/>
      <c r="M300" s="175"/>
      <c r="N300" s="175"/>
      <c r="O300" s="175"/>
      <c r="P300" s="175"/>
    </row>
    <row r="301">
      <c r="A301" s="175"/>
      <c r="B301" s="175"/>
      <c r="C301" s="175"/>
      <c r="D301" s="175"/>
      <c r="E301" s="175"/>
      <c r="F301" s="175"/>
      <c r="G301" s="175"/>
      <c r="H301" s="175"/>
      <c r="I301" s="175"/>
      <c r="J301" s="175"/>
      <c r="K301" s="175"/>
      <c r="L301" s="175"/>
      <c r="M301" s="175"/>
      <c r="N301" s="175"/>
      <c r="O301" s="175"/>
      <c r="P301" s="175"/>
    </row>
    <row r="302">
      <c r="A302" s="175"/>
      <c r="B302" s="175"/>
      <c r="C302" s="175"/>
      <c r="D302" s="175"/>
      <c r="E302" s="175"/>
      <c r="F302" s="175"/>
      <c r="G302" s="175"/>
      <c r="H302" s="175"/>
      <c r="I302" s="175"/>
      <c r="J302" s="175"/>
      <c r="K302" s="175"/>
      <c r="L302" s="175"/>
      <c r="M302" s="175"/>
      <c r="N302" s="175"/>
      <c r="O302" s="175"/>
      <c r="P302" s="175"/>
    </row>
    <row r="303">
      <c r="A303" s="175"/>
      <c r="B303" s="175"/>
      <c r="C303" s="175"/>
      <c r="D303" s="175"/>
      <c r="E303" s="175"/>
      <c r="F303" s="175"/>
      <c r="G303" s="175"/>
      <c r="H303" s="175"/>
      <c r="I303" s="175"/>
      <c r="J303" s="175"/>
      <c r="K303" s="175"/>
      <c r="L303" s="175"/>
      <c r="M303" s="175"/>
      <c r="N303" s="175"/>
      <c r="O303" s="175"/>
      <c r="P303" s="175"/>
    </row>
    <row r="304">
      <c r="A304" s="175"/>
      <c r="B304" s="175"/>
      <c r="C304" s="175"/>
      <c r="D304" s="175"/>
      <c r="E304" s="175"/>
      <c r="F304" s="175"/>
      <c r="G304" s="175"/>
      <c r="H304" s="175"/>
      <c r="I304" s="175"/>
      <c r="J304" s="175"/>
      <c r="K304" s="175"/>
      <c r="L304" s="175"/>
      <c r="M304" s="175"/>
      <c r="N304" s="175"/>
      <c r="O304" s="175"/>
      <c r="P304" s="175"/>
    </row>
    <row r="305">
      <c r="A305" s="175"/>
      <c r="B305" s="175"/>
      <c r="C305" s="175"/>
      <c r="D305" s="175"/>
      <c r="E305" s="175"/>
      <c r="F305" s="175"/>
      <c r="G305" s="175"/>
      <c r="H305" s="175"/>
      <c r="I305" s="175"/>
      <c r="J305" s="175"/>
      <c r="K305" s="175"/>
      <c r="L305" s="175"/>
      <c r="M305" s="175"/>
      <c r="N305" s="175"/>
      <c r="O305" s="175"/>
      <c r="P305" s="175"/>
    </row>
    <row r="306">
      <c r="A306" s="175"/>
      <c r="B306" s="175"/>
      <c r="C306" s="175"/>
      <c r="D306" s="175"/>
      <c r="E306" s="175"/>
      <c r="F306" s="175"/>
      <c r="G306" s="175"/>
      <c r="H306" s="175"/>
      <c r="I306" s="175"/>
      <c r="J306" s="175"/>
      <c r="K306" s="175"/>
      <c r="L306" s="175"/>
      <c r="M306" s="175"/>
      <c r="N306" s="175"/>
      <c r="O306" s="175"/>
      <c r="P306" s="175"/>
    </row>
    <row r="307">
      <c r="A307" s="175"/>
      <c r="B307" s="175"/>
      <c r="C307" s="175"/>
      <c r="D307" s="175"/>
      <c r="E307" s="175"/>
      <c r="F307" s="175"/>
      <c r="G307" s="175"/>
      <c r="H307" s="175"/>
      <c r="I307" s="175"/>
      <c r="J307" s="175"/>
      <c r="K307" s="175"/>
      <c r="L307" s="175"/>
      <c r="M307" s="175"/>
      <c r="N307" s="175"/>
      <c r="O307" s="175"/>
      <c r="P307" s="175"/>
    </row>
    <row r="308">
      <c r="A308" s="175"/>
      <c r="B308" s="175"/>
      <c r="C308" s="175"/>
      <c r="D308" s="175"/>
      <c r="E308" s="175"/>
      <c r="F308" s="175"/>
      <c r="G308" s="175"/>
      <c r="H308" s="175"/>
      <c r="I308" s="175"/>
      <c r="J308" s="175"/>
      <c r="K308" s="175"/>
      <c r="L308" s="175"/>
      <c r="M308" s="175"/>
      <c r="N308" s="175"/>
      <c r="O308" s="175"/>
      <c r="P308" s="175"/>
    </row>
    <row r="309">
      <c r="A309" s="175"/>
      <c r="B309" s="175"/>
      <c r="C309" s="175"/>
      <c r="D309" s="175"/>
      <c r="E309" s="175"/>
      <c r="F309" s="175"/>
      <c r="G309" s="175"/>
      <c r="H309" s="175"/>
      <c r="I309" s="175"/>
      <c r="J309" s="175"/>
      <c r="K309" s="175"/>
      <c r="L309" s="175"/>
      <c r="M309" s="175"/>
      <c r="N309" s="175"/>
      <c r="O309" s="175"/>
      <c r="P309" s="175"/>
    </row>
    <row r="310">
      <c r="A310" s="175"/>
      <c r="B310" s="175"/>
      <c r="C310" s="175"/>
      <c r="D310" s="175"/>
      <c r="E310" s="175"/>
      <c r="F310" s="175"/>
      <c r="G310" s="175"/>
      <c r="H310" s="175"/>
      <c r="I310" s="175"/>
      <c r="J310" s="175"/>
      <c r="K310" s="175"/>
      <c r="L310" s="175"/>
      <c r="M310" s="175"/>
      <c r="N310" s="175"/>
      <c r="O310" s="175"/>
      <c r="P310" s="175"/>
    </row>
    <row r="311">
      <c r="A311" s="175"/>
      <c r="B311" s="175"/>
      <c r="C311" s="175"/>
      <c r="D311" s="175"/>
      <c r="E311" s="175"/>
      <c r="F311" s="175"/>
      <c r="G311" s="175"/>
      <c r="H311" s="175"/>
      <c r="I311" s="175"/>
      <c r="J311" s="175"/>
      <c r="K311" s="175"/>
      <c r="L311" s="175"/>
      <c r="M311" s="175"/>
      <c r="N311" s="175"/>
      <c r="O311" s="175"/>
      <c r="P311" s="175"/>
    </row>
    <row r="312">
      <c r="A312" s="175"/>
      <c r="B312" s="175"/>
      <c r="C312" s="175"/>
      <c r="D312" s="175"/>
      <c r="E312" s="175"/>
      <c r="F312" s="175"/>
      <c r="G312" s="175"/>
      <c r="H312" s="175"/>
      <c r="I312" s="175"/>
      <c r="J312" s="175"/>
      <c r="K312" s="175"/>
      <c r="L312" s="175"/>
      <c r="M312" s="175"/>
      <c r="N312" s="175"/>
      <c r="O312" s="175"/>
      <c r="P312" s="175"/>
    </row>
    <row r="313">
      <c r="A313" s="175"/>
      <c r="B313" s="175"/>
      <c r="C313" s="175"/>
      <c r="D313" s="175"/>
      <c r="E313" s="175"/>
      <c r="F313" s="175"/>
      <c r="G313" s="175"/>
      <c r="H313" s="175"/>
      <c r="I313" s="175"/>
      <c r="J313" s="175"/>
      <c r="K313" s="175"/>
      <c r="L313" s="175"/>
      <c r="M313" s="175"/>
      <c r="N313" s="175"/>
      <c r="O313" s="175"/>
      <c r="P313" s="175"/>
    </row>
    <row r="314">
      <c r="A314" s="175"/>
      <c r="B314" s="175"/>
      <c r="C314" s="175"/>
      <c r="D314" s="175"/>
      <c r="E314" s="175"/>
      <c r="F314" s="175"/>
      <c r="G314" s="175"/>
      <c r="H314" s="175"/>
      <c r="I314" s="175"/>
      <c r="J314" s="175"/>
      <c r="K314" s="175"/>
      <c r="L314" s="175"/>
      <c r="M314" s="175"/>
      <c r="N314" s="175"/>
      <c r="O314" s="175"/>
      <c r="P314" s="175"/>
    </row>
    <row r="315">
      <c r="A315" s="175"/>
      <c r="B315" s="175"/>
      <c r="C315" s="175"/>
      <c r="D315" s="175"/>
      <c r="E315" s="175"/>
      <c r="F315" s="175"/>
      <c r="G315" s="175"/>
      <c r="H315" s="175"/>
      <c r="I315" s="175"/>
      <c r="J315" s="175"/>
      <c r="K315" s="175"/>
      <c r="L315" s="175"/>
      <c r="M315" s="175"/>
      <c r="N315" s="175"/>
      <c r="O315" s="175"/>
      <c r="P315" s="175"/>
    </row>
    <row r="316">
      <c r="A316" s="175"/>
      <c r="B316" s="175"/>
      <c r="C316" s="175"/>
      <c r="D316" s="175"/>
      <c r="E316" s="175"/>
      <c r="F316" s="175"/>
      <c r="G316" s="175"/>
      <c r="H316" s="175"/>
      <c r="I316" s="175"/>
      <c r="J316" s="175"/>
      <c r="K316" s="175"/>
      <c r="L316" s="175"/>
      <c r="M316" s="175"/>
      <c r="N316" s="175"/>
      <c r="O316" s="175"/>
      <c r="P316" s="175"/>
    </row>
    <row r="317">
      <c r="A317" s="175"/>
      <c r="B317" s="175"/>
      <c r="C317" s="175"/>
      <c r="D317" s="175"/>
      <c r="E317" s="175"/>
      <c r="F317" s="175"/>
      <c r="G317" s="175"/>
      <c r="H317" s="175"/>
      <c r="I317" s="175"/>
      <c r="J317" s="175"/>
      <c r="K317" s="175"/>
      <c r="L317" s="175"/>
      <c r="M317" s="175"/>
      <c r="N317" s="175"/>
      <c r="O317" s="175"/>
      <c r="P317" s="175"/>
    </row>
    <row r="318">
      <c r="A318" s="175"/>
      <c r="B318" s="175"/>
      <c r="C318" s="175"/>
      <c r="D318" s="175"/>
      <c r="E318" s="175"/>
      <c r="F318" s="175"/>
      <c r="G318" s="175"/>
      <c r="H318" s="175"/>
      <c r="I318" s="175"/>
      <c r="J318" s="175"/>
      <c r="K318" s="175"/>
      <c r="L318" s="175"/>
      <c r="M318" s="175"/>
      <c r="N318" s="175"/>
      <c r="O318" s="175"/>
      <c r="P318" s="175"/>
    </row>
    <row r="319">
      <c r="A319" s="175"/>
      <c r="B319" s="175"/>
      <c r="C319" s="175"/>
      <c r="D319" s="175"/>
      <c r="E319" s="175"/>
      <c r="F319" s="175"/>
      <c r="G319" s="175"/>
      <c r="H319" s="175"/>
      <c r="I319" s="175"/>
      <c r="J319" s="175"/>
      <c r="K319" s="175"/>
      <c r="L319" s="175"/>
      <c r="M319" s="175"/>
      <c r="N319" s="175"/>
      <c r="O319" s="175"/>
      <c r="P319" s="175"/>
    </row>
    <row r="320">
      <c r="A320" s="175"/>
      <c r="B320" s="175"/>
      <c r="C320" s="175"/>
      <c r="D320" s="175"/>
      <c r="E320" s="175"/>
      <c r="F320" s="175"/>
      <c r="G320" s="175"/>
      <c r="H320" s="175"/>
      <c r="I320" s="175"/>
      <c r="J320" s="175"/>
      <c r="K320" s="175"/>
      <c r="L320" s="175"/>
      <c r="M320" s="175"/>
      <c r="N320" s="175"/>
      <c r="O320" s="175"/>
      <c r="P320" s="175"/>
    </row>
    <row r="321">
      <c r="A321" s="175"/>
      <c r="B321" s="175"/>
      <c r="C321" s="175"/>
      <c r="D321" s="175"/>
      <c r="E321" s="175"/>
      <c r="F321" s="175"/>
      <c r="G321" s="175"/>
      <c r="H321" s="175"/>
      <c r="I321" s="175"/>
      <c r="J321" s="175"/>
      <c r="K321" s="175"/>
      <c r="L321" s="175"/>
      <c r="M321" s="175"/>
      <c r="N321" s="175"/>
      <c r="O321" s="175"/>
      <c r="P321" s="175"/>
    </row>
    <row r="322">
      <c r="A322" s="175"/>
      <c r="B322" s="175"/>
      <c r="C322" s="175"/>
      <c r="D322" s="175"/>
      <c r="E322" s="175"/>
      <c r="F322" s="175"/>
      <c r="G322" s="175"/>
      <c r="H322" s="175"/>
      <c r="I322" s="175"/>
      <c r="J322" s="175"/>
      <c r="K322" s="175"/>
      <c r="L322" s="175"/>
      <c r="M322" s="175"/>
      <c r="N322" s="175"/>
      <c r="O322" s="175"/>
      <c r="P322" s="175"/>
    </row>
    <row r="323">
      <c r="A323" s="175"/>
      <c r="B323" s="175"/>
      <c r="C323" s="175"/>
      <c r="D323" s="175"/>
      <c r="E323" s="175"/>
      <c r="F323" s="175"/>
      <c r="G323" s="175"/>
      <c r="H323" s="175"/>
      <c r="I323" s="175"/>
      <c r="J323" s="175"/>
      <c r="K323" s="175"/>
      <c r="L323" s="175"/>
      <c r="M323" s="175"/>
      <c r="N323" s="175"/>
      <c r="O323" s="175"/>
      <c r="P323" s="175"/>
    </row>
    <row r="324">
      <c r="A324" s="175"/>
      <c r="B324" s="175"/>
      <c r="C324" s="175"/>
      <c r="D324" s="175"/>
      <c r="E324" s="175"/>
      <c r="F324" s="175"/>
      <c r="G324" s="175"/>
      <c r="H324" s="175"/>
      <c r="I324" s="175"/>
      <c r="J324" s="175"/>
      <c r="K324" s="175"/>
      <c r="L324" s="175"/>
      <c r="M324" s="175"/>
      <c r="N324" s="175"/>
      <c r="O324" s="175"/>
      <c r="P324" s="175"/>
    </row>
    <row r="325">
      <c r="A325" s="175"/>
      <c r="B325" s="175"/>
      <c r="C325" s="175"/>
      <c r="D325" s="175"/>
      <c r="E325" s="175"/>
      <c r="F325" s="175"/>
      <c r="G325" s="175"/>
      <c r="H325" s="175"/>
      <c r="I325" s="175"/>
      <c r="J325" s="175"/>
      <c r="K325" s="175"/>
      <c r="L325" s="175"/>
      <c r="M325" s="175"/>
      <c r="N325" s="175"/>
      <c r="O325" s="175"/>
      <c r="P325" s="175"/>
    </row>
    <row r="326">
      <c r="A326" s="175"/>
      <c r="B326" s="175"/>
      <c r="C326" s="175"/>
      <c r="D326" s="175"/>
      <c r="E326" s="175"/>
      <c r="F326" s="175"/>
      <c r="G326" s="175"/>
      <c r="H326" s="175"/>
      <c r="I326" s="175"/>
      <c r="J326" s="175"/>
      <c r="K326" s="175"/>
      <c r="L326" s="175"/>
      <c r="M326" s="175"/>
      <c r="N326" s="175"/>
      <c r="O326" s="175"/>
      <c r="P326" s="175"/>
    </row>
    <row r="327">
      <c r="A327" s="175"/>
      <c r="B327" s="175"/>
      <c r="C327" s="175"/>
      <c r="D327" s="175"/>
      <c r="E327" s="175"/>
      <c r="F327" s="175"/>
      <c r="G327" s="175"/>
      <c r="H327" s="175"/>
      <c r="I327" s="175"/>
      <c r="J327" s="175"/>
      <c r="K327" s="175"/>
      <c r="L327" s="175"/>
      <c r="M327" s="175"/>
      <c r="N327" s="175"/>
      <c r="O327" s="175"/>
      <c r="P327" s="175"/>
    </row>
    <row r="328">
      <c r="A328" s="175"/>
      <c r="B328" s="175"/>
      <c r="C328" s="175"/>
      <c r="D328" s="175"/>
      <c r="E328" s="175"/>
      <c r="F328" s="175"/>
      <c r="G328" s="175"/>
      <c r="H328" s="175"/>
      <c r="I328" s="175"/>
      <c r="J328" s="175"/>
      <c r="K328" s="175"/>
      <c r="L328" s="175"/>
      <c r="M328" s="175"/>
      <c r="N328" s="175"/>
      <c r="O328" s="175"/>
      <c r="P328" s="175"/>
    </row>
    <row r="329">
      <c r="A329" s="175"/>
      <c r="B329" s="175"/>
      <c r="C329" s="175"/>
      <c r="D329" s="175"/>
      <c r="E329" s="175"/>
      <c r="F329" s="175"/>
      <c r="G329" s="175"/>
      <c r="H329" s="175"/>
      <c r="I329" s="175"/>
      <c r="J329" s="175"/>
      <c r="K329" s="175"/>
      <c r="L329" s="175"/>
      <c r="M329" s="175"/>
      <c r="N329" s="175"/>
      <c r="O329" s="175"/>
      <c r="P329" s="175"/>
    </row>
    <row r="330">
      <c r="A330" s="175"/>
      <c r="B330" s="175"/>
      <c r="C330" s="175"/>
      <c r="D330" s="175"/>
      <c r="E330" s="175"/>
      <c r="F330" s="175"/>
      <c r="G330" s="175"/>
      <c r="H330" s="175"/>
      <c r="I330" s="175"/>
      <c r="J330" s="175"/>
      <c r="K330" s="175"/>
      <c r="L330" s="175"/>
      <c r="M330" s="175"/>
      <c r="N330" s="175"/>
      <c r="O330" s="175"/>
      <c r="P330" s="175"/>
    </row>
    <row r="331">
      <c r="A331" s="175"/>
      <c r="B331" s="175"/>
      <c r="C331" s="175"/>
      <c r="D331" s="175"/>
      <c r="E331" s="175"/>
      <c r="F331" s="175"/>
      <c r="G331" s="175"/>
      <c r="H331" s="175"/>
      <c r="I331" s="175"/>
      <c r="J331" s="175"/>
      <c r="K331" s="175"/>
      <c r="L331" s="175"/>
      <c r="M331" s="175"/>
      <c r="N331" s="175"/>
      <c r="O331" s="175"/>
      <c r="P331" s="175"/>
    </row>
    <row r="332">
      <c r="A332" s="175"/>
      <c r="B332" s="175"/>
      <c r="C332" s="175"/>
      <c r="D332" s="175"/>
      <c r="E332" s="175"/>
      <c r="F332" s="175"/>
      <c r="G332" s="175"/>
      <c r="H332" s="175"/>
      <c r="I332" s="175"/>
      <c r="J332" s="175"/>
      <c r="K332" s="175"/>
      <c r="L332" s="175"/>
      <c r="M332" s="175"/>
      <c r="N332" s="175"/>
      <c r="O332" s="175"/>
      <c r="P332" s="175"/>
    </row>
    <row r="333">
      <c r="A333" s="175"/>
      <c r="B333" s="175"/>
      <c r="C333" s="175"/>
      <c r="D333" s="175"/>
      <c r="E333" s="175"/>
      <c r="F333" s="175"/>
      <c r="G333" s="175"/>
      <c r="H333" s="175"/>
      <c r="I333" s="175"/>
      <c r="J333" s="175"/>
      <c r="K333" s="175"/>
      <c r="L333" s="175"/>
      <c r="M333" s="175"/>
      <c r="N333" s="175"/>
      <c r="O333" s="175"/>
      <c r="P333" s="175"/>
    </row>
    <row r="334">
      <c r="A334" s="175"/>
      <c r="B334" s="175"/>
      <c r="C334" s="175"/>
      <c r="D334" s="175"/>
      <c r="E334" s="175"/>
      <c r="F334" s="175"/>
      <c r="G334" s="175"/>
      <c r="H334" s="175"/>
      <c r="I334" s="175"/>
      <c r="J334" s="175"/>
      <c r="K334" s="175"/>
      <c r="L334" s="175"/>
      <c r="M334" s="175"/>
      <c r="N334" s="175"/>
      <c r="O334" s="175"/>
      <c r="P334" s="175"/>
    </row>
    <row r="335">
      <c r="A335" s="175"/>
      <c r="B335" s="175"/>
      <c r="C335" s="175"/>
      <c r="D335" s="175"/>
      <c r="E335" s="175"/>
      <c r="F335" s="175"/>
      <c r="G335" s="175"/>
      <c r="H335" s="175"/>
      <c r="I335" s="175"/>
      <c r="J335" s="175"/>
      <c r="K335" s="175"/>
      <c r="L335" s="175"/>
      <c r="M335" s="175"/>
      <c r="N335" s="175"/>
      <c r="O335" s="175"/>
      <c r="P335" s="175"/>
    </row>
    <row r="336">
      <c r="A336" s="175"/>
      <c r="B336" s="175"/>
      <c r="C336" s="175"/>
      <c r="D336" s="175"/>
      <c r="E336" s="175"/>
      <c r="F336" s="175"/>
      <c r="G336" s="175"/>
      <c r="H336" s="175"/>
      <c r="I336" s="175"/>
      <c r="J336" s="175"/>
      <c r="K336" s="175"/>
      <c r="L336" s="175"/>
      <c r="M336" s="175"/>
      <c r="N336" s="175"/>
      <c r="O336" s="175"/>
      <c r="P336" s="175"/>
    </row>
    <row r="337">
      <c r="A337" s="175"/>
      <c r="B337" s="175"/>
      <c r="C337" s="175"/>
      <c r="D337" s="175"/>
      <c r="E337" s="175"/>
      <c r="F337" s="175"/>
      <c r="G337" s="175"/>
      <c r="H337" s="175"/>
      <c r="I337" s="175"/>
      <c r="J337" s="175"/>
      <c r="K337" s="175"/>
      <c r="L337" s="175"/>
      <c r="M337" s="175"/>
      <c r="N337" s="175"/>
      <c r="O337" s="175"/>
      <c r="P337" s="175"/>
    </row>
    <row r="338">
      <c r="A338" s="175"/>
      <c r="B338" s="175"/>
      <c r="C338" s="175"/>
      <c r="D338" s="175"/>
      <c r="E338" s="175"/>
      <c r="F338" s="175"/>
      <c r="G338" s="175"/>
      <c r="H338" s="175"/>
      <c r="I338" s="175"/>
      <c r="J338" s="175"/>
      <c r="K338" s="175"/>
      <c r="L338" s="175"/>
      <c r="M338" s="175"/>
      <c r="N338" s="175"/>
      <c r="O338" s="175"/>
      <c r="P338" s="175"/>
    </row>
    <row r="339">
      <c r="A339" s="175"/>
      <c r="B339" s="175"/>
      <c r="C339" s="175"/>
      <c r="D339" s="175"/>
      <c r="E339" s="175"/>
      <c r="F339" s="175"/>
      <c r="G339" s="175"/>
      <c r="H339" s="175"/>
      <c r="I339" s="175"/>
      <c r="J339" s="175"/>
      <c r="K339" s="175"/>
      <c r="L339" s="175"/>
      <c r="M339" s="175"/>
      <c r="N339" s="175"/>
      <c r="O339" s="175"/>
      <c r="P339" s="175"/>
    </row>
    <row r="340">
      <c r="A340" s="175"/>
      <c r="B340" s="175"/>
      <c r="C340" s="175"/>
      <c r="D340" s="175"/>
      <c r="E340" s="175"/>
      <c r="F340" s="175"/>
      <c r="G340" s="175"/>
      <c r="H340" s="175"/>
      <c r="I340" s="175"/>
      <c r="J340" s="175"/>
      <c r="K340" s="175"/>
      <c r="L340" s="175"/>
      <c r="M340" s="175"/>
      <c r="N340" s="175"/>
      <c r="O340" s="175"/>
      <c r="P340" s="175"/>
    </row>
    <row r="341">
      <c r="A341" s="175"/>
      <c r="B341" s="175"/>
      <c r="C341" s="175"/>
      <c r="D341" s="175"/>
      <c r="E341" s="175"/>
      <c r="F341" s="175"/>
      <c r="G341" s="175"/>
      <c r="H341" s="175"/>
      <c r="I341" s="175"/>
      <c r="J341" s="175"/>
      <c r="K341" s="175"/>
      <c r="L341" s="175"/>
      <c r="M341" s="175"/>
      <c r="N341" s="175"/>
      <c r="O341" s="175"/>
      <c r="P341" s="175"/>
    </row>
    <row r="342">
      <c r="A342" s="175"/>
      <c r="B342" s="175"/>
      <c r="C342" s="175"/>
      <c r="D342" s="175"/>
      <c r="E342" s="175"/>
      <c r="F342" s="175"/>
      <c r="G342" s="175"/>
      <c r="H342" s="175"/>
      <c r="I342" s="175"/>
      <c r="J342" s="175"/>
      <c r="K342" s="175"/>
      <c r="L342" s="175"/>
      <c r="M342" s="175"/>
      <c r="N342" s="175"/>
      <c r="O342" s="175"/>
      <c r="P342" s="175"/>
    </row>
    <row r="343">
      <c r="A343" s="175"/>
      <c r="B343" s="175"/>
      <c r="C343" s="175"/>
      <c r="D343" s="175"/>
      <c r="E343" s="175"/>
      <c r="F343" s="175"/>
      <c r="G343" s="175"/>
      <c r="H343" s="175"/>
      <c r="I343" s="175"/>
      <c r="J343" s="175"/>
      <c r="K343" s="175"/>
      <c r="L343" s="175"/>
      <c r="M343" s="175"/>
      <c r="N343" s="175"/>
      <c r="O343" s="175"/>
      <c r="P343" s="175"/>
    </row>
    <row r="344">
      <c r="A344" s="175"/>
      <c r="B344" s="175"/>
      <c r="C344" s="175"/>
      <c r="D344" s="175"/>
      <c r="E344" s="175"/>
      <c r="F344" s="175"/>
      <c r="G344" s="175"/>
      <c r="H344" s="175"/>
      <c r="I344" s="175"/>
      <c r="J344" s="175"/>
      <c r="K344" s="175"/>
      <c r="L344" s="175"/>
      <c r="M344" s="175"/>
      <c r="N344" s="175"/>
      <c r="O344" s="175"/>
      <c r="P344" s="175"/>
    </row>
    <row r="345">
      <c r="A345" s="175"/>
      <c r="B345" s="175"/>
      <c r="C345" s="175"/>
      <c r="D345" s="175"/>
      <c r="E345" s="175"/>
      <c r="F345" s="175"/>
      <c r="G345" s="175"/>
      <c r="H345" s="175"/>
      <c r="I345" s="175"/>
      <c r="J345" s="175"/>
      <c r="K345" s="175"/>
      <c r="L345" s="175"/>
      <c r="M345" s="175"/>
      <c r="N345" s="175"/>
      <c r="O345" s="175"/>
      <c r="P345" s="175"/>
    </row>
    <row r="346">
      <c r="A346" s="175"/>
      <c r="B346" s="175"/>
      <c r="C346" s="175"/>
      <c r="D346" s="175"/>
      <c r="E346" s="175"/>
      <c r="F346" s="175"/>
      <c r="G346" s="175"/>
      <c r="H346" s="175"/>
      <c r="I346" s="175"/>
      <c r="J346" s="175"/>
      <c r="K346" s="175"/>
      <c r="L346" s="175"/>
      <c r="M346" s="175"/>
      <c r="N346" s="175"/>
      <c r="O346" s="175"/>
      <c r="P346" s="175"/>
    </row>
    <row r="347">
      <c r="A347" s="175"/>
      <c r="B347" s="175"/>
      <c r="C347" s="175"/>
      <c r="D347" s="175"/>
      <c r="E347" s="175"/>
      <c r="F347" s="175"/>
      <c r="G347" s="175"/>
      <c r="H347" s="175"/>
      <c r="I347" s="175"/>
      <c r="J347" s="175"/>
      <c r="K347" s="175"/>
      <c r="L347" s="175"/>
      <c r="M347" s="175"/>
      <c r="N347" s="175"/>
      <c r="O347" s="175"/>
      <c r="P347" s="175"/>
    </row>
    <row r="348">
      <c r="A348" s="175"/>
      <c r="B348" s="175"/>
      <c r="C348" s="175"/>
      <c r="D348" s="175"/>
      <c r="E348" s="175"/>
      <c r="F348" s="175"/>
      <c r="G348" s="175"/>
      <c r="H348" s="175"/>
      <c r="I348" s="175"/>
      <c r="J348" s="175"/>
      <c r="K348" s="175"/>
      <c r="L348" s="175"/>
      <c r="M348" s="175"/>
      <c r="N348" s="175"/>
      <c r="O348" s="175"/>
      <c r="P348" s="175"/>
    </row>
    <row r="349">
      <c r="A349" s="175"/>
      <c r="B349" s="175"/>
      <c r="C349" s="175"/>
      <c r="D349" s="175"/>
      <c r="E349" s="175"/>
      <c r="F349" s="175"/>
      <c r="G349" s="175"/>
      <c r="H349" s="175"/>
      <c r="I349" s="175"/>
      <c r="J349" s="175"/>
      <c r="K349" s="175"/>
      <c r="L349" s="175"/>
      <c r="M349" s="175"/>
      <c r="N349" s="175"/>
      <c r="O349" s="175"/>
      <c r="P349" s="175"/>
    </row>
    <row r="350">
      <c r="A350" s="175"/>
      <c r="B350" s="175"/>
      <c r="C350" s="175"/>
      <c r="D350" s="175"/>
      <c r="E350" s="175"/>
      <c r="F350" s="175"/>
      <c r="G350" s="175"/>
      <c r="H350" s="175"/>
      <c r="I350" s="175"/>
      <c r="J350" s="175"/>
      <c r="K350" s="175"/>
      <c r="L350" s="175"/>
      <c r="M350" s="175"/>
      <c r="N350" s="175"/>
      <c r="O350" s="175"/>
      <c r="P350" s="175"/>
    </row>
    <row r="351">
      <c r="A351" s="175"/>
      <c r="B351" s="175"/>
      <c r="C351" s="175"/>
      <c r="D351" s="175"/>
      <c r="E351" s="175"/>
      <c r="F351" s="175"/>
      <c r="G351" s="175"/>
      <c r="H351" s="175"/>
      <c r="I351" s="175"/>
      <c r="J351" s="175"/>
      <c r="K351" s="175"/>
      <c r="L351" s="175"/>
      <c r="M351" s="175"/>
      <c r="N351" s="175"/>
      <c r="O351" s="175"/>
      <c r="P351" s="175"/>
    </row>
    <row r="352">
      <c r="A352" s="175"/>
      <c r="B352" s="175"/>
      <c r="C352" s="175"/>
      <c r="D352" s="175"/>
      <c r="E352" s="175"/>
      <c r="F352" s="175"/>
      <c r="G352" s="175"/>
      <c r="H352" s="175"/>
      <c r="I352" s="175"/>
      <c r="J352" s="175"/>
      <c r="K352" s="175"/>
      <c r="L352" s="175"/>
      <c r="M352" s="175"/>
      <c r="N352" s="175"/>
      <c r="O352" s="175"/>
      <c r="P352" s="175"/>
    </row>
    <row r="353">
      <c r="A353" s="175"/>
      <c r="B353" s="175"/>
      <c r="C353" s="175"/>
      <c r="D353" s="175"/>
      <c r="E353" s="175"/>
      <c r="F353" s="175"/>
      <c r="G353" s="175"/>
      <c r="H353" s="175"/>
      <c r="I353" s="175"/>
      <c r="J353" s="175"/>
      <c r="K353" s="175"/>
      <c r="L353" s="175"/>
      <c r="M353" s="175"/>
      <c r="N353" s="175"/>
      <c r="O353" s="175"/>
      <c r="P353" s="175"/>
    </row>
    <row r="354">
      <c r="A354" s="175"/>
      <c r="B354" s="175"/>
      <c r="C354" s="175"/>
      <c r="D354" s="175"/>
      <c r="E354" s="175"/>
      <c r="F354" s="175"/>
      <c r="G354" s="175"/>
      <c r="H354" s="175"/>
      <c r="I354" s="175"/>
      <c r="J354" s="175"/>
      <c r="K354" s="175"/>
      <c r="L354" s="175"/>
      <c r="M354" s="175"/>
      <c r="N354" s="175"/>
      <c r="O354" s="175"/>
      <c r="P354" s="175"/>
    </row>
    <row r="355">
      <c r="A355" s="175"/>
      <c r="B355" s="175"/>
      <c r="C355" s="175"/>
      <c r="D355" s="175"/>
      <c r="E355" s="175"/>
      <c r="F355" s="175"/>
      <c r="G355" s="175"/>
      <c r="H355" s="175"/>
      <c r="I355" s="175"/>
      <c r="J355" s="175"/>
      <c r="K355" s="175"/>
      <c r="L355" s="175"/>
      <c r="M355" s="175"/>
      <c r="N355" s="175"/>
      <c r="O355" s="175"/>
      <c r="P355" s="175"/>
    </row>
    <row r="356">
      <c r="A356" s="175"/>
      <c r="B356" s="175"/>
      <c r="C356" s="175"/>
      <c r="D356" s="175"/>
      <c r="E356" s="175"/>
      <c r="F356" s="175"/>
      <c r="G356" s="175"/>
      <c r="H356" s="175"/>
      <c r="I356" s="175"/>
      <c r="J356" s="175"/>
      <c r="K356" s="175"/>
      <c r="L356" s="175"/>
      <c r="M356" s="175"/>
      <c r="N356" s="175"/>
      <c r="O356" s="175"/>
      <c r="P356" s="175"/>
    </row>
    <row r="357">
      <c r="A357" s="175"/>
      <c r="B357" s="175"/>
      <c r="C357" s="175"/>
      <c r="D357" s="175"/>
      <c r="E357" s="175"/>
      <c r="F357" s="175"/>
      <c r="G357" s="175"/>
      <c r="H357" s="175"/>
      <c r="I357" s="175"/>
      <c r="J357" s="175"/>
      <c r="K357" s="175"/>
      <c r="L357" s="175"/>
      <c r="M357" s="175"/>
      <c r="N357" s="175"/>
      <c r="O357" s="175"/>
      <c r="P357" s="175"/>
    </row>
    <row r="358">
      <c r="A358" s="175"/>
      <c r="B358" s="175"/>
      <c r="C358" s="175"/>
      <c r="D358" s="175"/>
      <c r="E358" s="175"/>
      <c r="F358" s="175"/>
      <c r="G358" s="175"/>
      <c r="H358" s="175"/>
      <c r="I358" s="175"/>
      <c r="J358" s="175"/>
      <c r="K358" s="175"/>
      <c r="L358" s="175"/>
      <c r="M358" s="175"/>
      <c r="N358" s="175"/>
      <c r="O358" s="175"/>
      <c r="P358" s="175"/>
    </row>
    <row r="359">
      <c r="A359" s="175"/>
      <c r="B359" s="175"/>
      <c r="C359" s="175"/>
      <c r="D359" s="175"/>
      <c r="E359" s="175"/>
      <c r="F359" s="175"/>
      <c r="G359" s="175"/>
      <c r="H359" s="175"/>
      <c r="I359" s="175"/>
      <c r="J359" s="175"/>
      <c r="K359" s="175"/>
      <c r="L359" s="175"/>
      <c r="M359" s="175"/>
      <c r="N359" s="175"/>
      <c r="O359" s="175"/>
      <c r="P359" s="175"/>
    </row>
    <row r="360">
      <c r="A360" s="175"/>
      <c r="B360" s="175"/>
      <c r="C360" s="175"/>
      <c r="D360" s="175"/>
      <c r="E360" s="175"/>
      <c r="F360" s="175"/>
      <c r="G360" s="175"/>
      <c r="H360" s="175"/>
      <c r="I360" s="175"/>
      <c r="J360" s="175"/>
      <c r="K360" s="175"/>
      <c r="L360" s="175"/>
      <c r="M360" s="175"/>
      <c r="N360" s="175"/>
      <c r="O360" s="175"/>
      <c r="P360" s="175"/>
    </row>
    <row r="361">
      <c r="A361" s="175"/>
      <c r="B361" s="175"/>
      <c r="C361" s="175"/>
      <c r="D361" s="175"/>
      <c r="E361" s="175"/>
      <c r="F361" s="175"/>
      <c r="G361" s="175"/>
      <c r="H361" s="175"/>
      <c r="I361" s="175"/>
      <c r="J361" s="175"/>
      <c r="K361" s="175"/>
      <c r="L361" s="175"/>
      <c r="M361" s="175"/>
      <c r="N361" s="175"/>
      <c r="O361" s="175"/>
      <c r="P361" s="175"/>
    </row>
    <row r="362">
      <c r="A362" s="175"/>
      <c r="B362" s="175"/>
      <c r="C362" s="175"/>
      <c r="D362" s="175"/>
      <c r="E362" s="175"/>
      <c r="F362" s="175"/>
      <c r="G362" s="175"/>
      <c r="H362" s="175"/>
      <c r="I362" s="175"/>
      <c r="J362" s="175"/>
      <c r="K362" s="175"/>
      <c r="L362" s="175"/>
      <c r="M362" s="175"/>
      <c r="N362" s="175"/>
      <c r="O362" s="175"/>
      <c r="P362" s="175"/>
    </row>
    <row r="363">
      <c r="A363" s="175"/>
      <c r="B363" s="175"/>
      <c r="C363" s="175"/>
      <c r="D363" s="175"/>
      <c r="E363" s="175"/>
      <c r="F363" s="175"/>
      <c r="G363" s="175"/>
      <c r="H363" s="175"/>
      <c r="I363" s="175"/>
      <c r="J363" s="175"/>
      <c r="K363" s="175"/>
      <c r="L363" s="175"/>
      <c r="M363" s="175"/>
      <c r="N363" s="175"/>
      <c r="O363" s="175"/>
      <c r="P363" s="175"/>
    </row>
    <row r="364">
      <c r="A364" s="175"/>
      <c r="B364" s="175"/>
      <c r="C364" s="175"/>
      <c r="D364" s="175"/>
      <c r="E364" s="175"/>
      <c r="F364" s="175"/>
      <c r="G364" s="175"/>
      <c r="H364" s="175"/>
      <c r="I364" s="175"/>
      <c r="J364" s="175"/>
      <c r="K364" s="175"/>
      <c r="L364" s="175"/>
      <c r="M364" s="175"/>
      <c r="N364" s="175"/>
      <c r="O364" s="175"/>
      <c r="P364" s="175"/>
    </row>
    <row r="365">
      <c r="A365" s="175"/>
      <c r="B365" s="175"/>
      <c r="C365" s="175"/>
      <c r="D365" s="175"/>
      <c r="E365" s="175"/>
      <c r="F365" s="175"/>
      <c r="G365" s="175"/>
      <c r="H365" s="175"/>
      <c r="I365" s="175"/>
      <c r="J365" s="175"/>
      <c r="K365" s="175"/>
      <c r="L365" s="175"/>
      <c r="M365" s="175"/>
      <c r="N365" s="175"/>
      <c r="O365" s="175"/>
      <c r="P365" s="175"/>
    </row>
    <row r="366">
      <c r="A366" s="175"/>
      <c r="B366" s="175"/>
      <c r="C366" s="175"/>
      <c r="D366" s="175"/>
      <c r="E366" s="175"/>
      <c r="F366" s="175"/>
      <c r="G366" s="175"/>
      <c r="H366" s="175"/>
      <c r="I366" s="175"/>
      <c r="J366" s="175"/>
      <c r="K366" s="175"/>
      <c r="L366" s="175"/>
      <c r="M366" s="175"/>
      <c r="N366" s="175"/>
      <c r="O366" s="175"/>
      <c r="P366" s="175"/>
    </row>
    <row r="367">
      <c r="A367" s="175"/>
      <c r="B367" s="175"/>
      <c r="C367" s="175"/>
      <c r="D367" s="175"/>
      <c r="E367" s="175"/>
      <c r="F367" s="175"/>
      <c r="G367" s="175"/>
      <c r="H367" s="175"/>
      <c r="I367" s="175"/>
      <c r="J367" s="175"/>
      <c r="K367" s="175"/>
      <c r="L367" s="175"/>
      <c r="M367" s="175"/>
      <c r="N367" s="175"/>
      <c r="O367" s="175"/>
      <c r="P367" s="175"/>
    </row>
    <row r="368">
      <c r="A368" s="175"/>
      <c r="B368" s="175"/>
      <c r="C368" s="175"/>
      <c r="D368" s="175"/>
      <c r="E368" s="175"/>
      <c r="F368" s="175"/>
      <c r="G368" s="175"/>
      <c r="H368" s="175"/>
      <c r="I368" s="175"/>
      <c r="J368" s="175"/>
      <c r="K368" s="175"/>
      <c r="L368" s="175"/>
      <c r="M368" s="175"/>
      <c r="N368" s="175"/>
      <c r="O368" s="175"/>
      <c r="P368" s="175"/>
    </row>
    <row r="369">
      <c r="A369" s="175"/>
      <c r="B369" s="175"/>
      <c r="C369" s="175"/>
      <c r="D369" s="175"/>
      <c r="E369" s="175"/>
      <c r="F369" s="175"/>
      <c r="G369" s="175"/>
      <c r="H369" s="175"/>
      <c r="I369" s="175"/>
      <c r="J369" s="175"/>
      <c r="K369" s="175"/>
      <c r="L369" s="175"/>
      <c r="M369" s="175"/>
      <c r="N369" s="175"/>
      <c r="O369" s="175"/>
      <c r="P369" s="175"/>
    </row>
    <row r="370">
      <c r="A370" s="175"/>
      <c r="B370" s="175"/>
      <c r="C370" s="175"/>
      <c r="D370" s="175"/>
      <c r="E370" s="175"/>
      <c r="F370" s="175"/>
      <c r="G370" s="175"/>
      <c r="H370" s="175"/>
      <c r="I370" s="175"/>
      <c r="J370" s="175"/>
      <c r="K370" s="175"/>
      <c r="L370" s="175"/>
      <c r="M370" s="175"/>
      <c r="N370" s="175"/>
      <c r="O370" s="175"/>
      <c r="P370" s="175"/>
    </row>
    <row r="371">
      <c r="A371" s="175"/>
      <c r="B371" s="175"/>
      <c r="C371" s="175"/>
      <c r="D371" s="175"/>
      <c r="E371" s="175"/>
      <c r="F371" s="175"/>
      <c r="G371" s="175"/>
      <c r="H371" s="175"/>
      <c r="I371" s="175"/>
      <c r="J371" s="175"/>
      <c r="K371" s="175"/>
      <c r="L371" s="175"/>
      <c r="M371" s="175"/>
      <c r="N371" s="175"/>
      <c r="O371" s="175"/>
      <c r="P371" s="175"/>
    </row>
    <row r="372">
      <c r="A372" s="175"/>
      <c r="B372" s="175"/>
      <c r="C372" s="175"/>
      <c r="D372" s="175"/>
      <c r="E372" s="175"/>
      <c r="F372" s="175"/>
      <c r="G372" s="175"/>
      <c r="H372" s="175"/>
      <c r="I372" s="175"/>
      <c r="J372" s="175"/>
      <c r="K372" s="175"/>
      <c r="L372" s="175"/>
      <c r="M372" s="175"/>
      <c r="N372" s="175"/>
      <c r="O372" s="175"/>
      <c r="P372" s="175"/>
    </row>
    <row r="373">
      <c r="A373" s="175"/>
      <c r="B373" s="175"/>
      <c r="C373" s="175"/>
      <c r="D373" s="175"/>
      <c r="E373" s="175"/>
      <c r="F373" s="175"/>
      <c r="G373" s="175"/>
      <c r="H373" s="175"/>
      <c r="I373" s="175"/>
      <c r="J373" s="175"/>
      <c r="K373" s="175"/>
      <c r="L373" s="175"/>
      <c r="M373" s="175"/>
      <c r="N373" s="175"/>
      <c r="O373" s="175"/>
      <c r="P373" s="175"/>
    </row>
    <row r="374">
      <c r="A374" s="175"/>
      <c r="B374" s="175"/>
      <c r="C374" s="175"/>
      <c r="D374" s="175"/>
      <c r="E374" s="175"/>
      <c r="F374" s="175"/>
      <c r="G374" s="175"/>
      <c r="H374" s="175"/>
      <c r="I374" s="175"/>
      <c r="J374" s="175"/>
      <c r="K374" s="175"/>
      <c r="L374" s="175"/>
      <c r="M374" s="175"/>
      <c r="N374" s="175"/>
      <c r="O374" s="175"/>
      <c r="P374" s="175"/>
    </row>
    <row r="375">
      <c r="A375" s="175"/>
      <c r="B375" s="175"/>
      <c r="C375" s="175"/>
      <c r="D375" s="175"/>
      <c r="E375" s="175"/>
      <c r="F375" s="175"/>
      <c r="G375" s="175"/>
      <c r="H375" s="175"/>
      <c r="I375" s="175"/>
      <c r="J375" s="175"/>
      <c r="K375" s="175"/>
      <c r="L375" s="175"/>
      <c r="M375" s="175"/>
      <c r="N375" s="175"/>
      <c r="O375" s="175"/>
      <c r="P375" s="175"/>
    </row>
    <row r="376">
      <c r="A376" s="175"/>
      <c r="B376" s="175"/>
      <c r="C376" s="175"/>
      <c r="D376" s="175"/>
      <c r="E376" s="175"/>
      <c r="F376" s="175"/>
      <c r="G376" s="175"/>
      <c r="H376" s="175"/>
      <c r="I376" s="175"/>
      <c r="J376" s="175"/>
      <c r="K376" s="175"/>
      <c r="L376" s="175"/>
      <c r="M376" s="175"/>
      <c r="N376" s="175"/>
      <c r="O376" s="175"/>
      <c r="P376" s="175"/>
    </row>
    <row r="377">
      <c r="A377" s="175"/>
      <c r="B377" s="175"/>
      <c r="C377" s="175"/>
      <c r="D377" s="175"/>
      <c r="E377" s="175"/>
      <c r="F377" s="175"/>
      <c r="G377" s="175"/>
      <c r="H377" s="175"/>
      <c r="I377" s="175"/>
      <c r="J377" s="175"/>
      <c r="K377" s="175"/>
      <c r="L377" s="175"/>
      <c r="M377" s="175"/>
      <c r="N377" s="175"/>
      <c r="O377" s="175"/>
      <c r="P377" s="175"/>
    </row>
    <row r="378">
      <c r="A378" s="175"/>
      <c r="B378" s="175"/>
      <c r="C378" s="175"/>
      <c r="D378" s="175"/>
      <c r="E378" s="175"/>
      <c r="F378" s="175"/>
      <c r="G378" s="175"/>
      <c r="H378" s="175"/>
      <c r="I378" s="175"/>
      <c r="J378" s="175"/>
      <c r="K378" s="175"/>
      <c r="L378" s="175"/>
      <c r="M378" s="175"/>
      <c r="N378" s="175"/>
      <c r="O378" s="175"/>
      <c r="P378" s="175"/>
    </row>
    <row r="379">
      <c r="A379" s="175"/>
      <c r="B379" s="175"/>
      <c r="C379" s="175"/>
      <c r="D379" s="175"/>
      <c r="E379" s="175"/>
      <c r="F379" s="175"/>
      <c r="G379" s="175"/>
      <c r="H379" s="175"/>
      <c r="I379" s="175"/>
      <c r="J379" s="175"/>
      <c r="K379" s="175"/>
      <c r="L379" s="175"/>
      <c r="M379" s="175"/>
      <c r="N379" s="175"/>
      <c r="O379" s="175"/>
      <c r="P379" s="175"/>
    </row>
    <row r="380">
      <c r="A380" s="175"/>
      <c r="B380" s="175"/>
      <c r="C380" s="175"/>
      <c r="D380" s="175"/>
      <c r="E380" s="175"/>
      <c r="F380" s="175"/>
      <c r="G380" s="175"/>
      <c r="H380" s="175"/>
      <c r="I380" s="175"/>
      <c r="J380" s="175"/>
      <c r="K380" s="175"/>
      <c r="L380" s="175"/>
      <c r="M380" s="175"/>
      <c r="N380" s="175"/>
      <c r="O380" s="175"/>
      <c r="P380" s="175"/>
    </row>
    <row r="381">
      <c r="A381" s="175"/>
      <c r="B381" s="175"/>
      <c r="C381" s="175"/>
      <c r="D381" s="175"/>
      <c r="E381" s="175"/>
      <c r="F381" s="175"/>
      <c r="G381" s="175"/>
      <c r="H381" s="175"/>
      <c r="I381" s="175"/>
      <c r="J381" s="175"/>
      <c r="K381" s="175"/>
      <c r="L381" s="175"/>
      <c r="M381" s="175"/>
      <c r="N381" s="175"/>
      <c r="O381" s="175"/>
      <c r="P381" s="175"/>
    </row>
    <row r="382">
      <c r="A382" s="175"/>
      <c r="B382" s="175"/>
      <c r="C382" s="175"/>
      <c r="D382" s="175"/>
      <c r="E382" s="175"/>
      <c r="F382" s="175"/>
      <c r="G382" s="175"/>
      <c r="H382" s="175"/>
      <c r="I382" s="175"/>
      <c r="J382" s="175"/>
      <c r="K382" s="175"/>
      <c r="L382" s="175"/>
      <c r="M382" s="175"/>
      <c r="N382" s="175"/>
      <c r="O382" s="175"/>
      <c r="P382" s="175"/>
    </row>
    <row r="383">
      <c r="A383" s="175"/>
      <c r="B383" s="175"/>
      <c r="C383" s="175"/>
      <c r="D383" s="175"/>
      <c r="E383" s="175"/>
      <c r="F383" s="175"/>
      <c r="G383" s="175"/>
      <c r="H383" s="175"/>
      <c r="I383" s="175"/>
      <c r="J383" s="175"/>
      <c r="K383" s="175"/>
      <c r="L383" s="175"/>
      <c r="M383" s="175"/>
      <c r="N383" s="175"/>
      <c r="O383" s="175"/>
      <c r="P383" s="175"/>
    </row>
    <row r="384">
      <c r="A384" s="175"/>
      <c r="B384" s="175"/>
      <c r="C384" s="175"/>
      <c r="D384" s="175"/>
      <c r="E384" s="175"/>
      <c r="F384" s="175"/>
      <c r="G384" s="175"/>
      <c r="H384" s="175"/>
      <c r="I384" s="175"/>
      <c r="J384" s="175"/>
      <c r="K384" s="175"/>
      <c r="L384" s="175"/>
      <c r="M384" s="175"/>
      <c r="N384" s="175"/>
      <c r="O384" s="175"/>
      <c r="P384" s="175"/>
    </row>
    <row r="385">
      <c r="A385" s="175"/>
      <c r="B385" s="175"/>
      <c r="C385" s="175"/>
      <c r="D385" s="175"/>
      <c r="E385" s="175"/>
      <c r="F385" s="175"/>
      <c r="G385" s="175"/>
      <c r="H385" s="175"/>
      <c r="I385" s="175"/>
      <c r="J385" s="175"/>
      <c r="K385" s="175"/>
      <c r="L385" s="175"/>
      <c r="M385" s="175"/>
      <c r="N385" s="175"/>
      <c r="O385" s="175"/>
      <c r="P385" s="175"/>
    </row>
    <row r="386">
      <c r="A386" s="175"/>
      <c r="B386" s="175"/>
      <c r="C386" s="175"/>
      <c r="D386" s="175"/>
      <c r="E386" s="175"/>
      <c r="F386" s="175"/>
      <c r="G386" s="175"/>
      <c r="H386" s="175"/>
      <c r="I386" s="175"/>
      <c r="J386" s="175"/>
      <c r="K386" s="175"/>
      <c r="L386" s="175"/>
      <c r="M386" s="175"/>
      <c r="N386" s="175"/>
      <c r="O386" s="175"/>
      <c r="P386" s="175"/>
    </row>
    <row r="387">
      <c r="A387" s="175"/>
      <c r="B387" s="175"/>
      <c r="C387" s="175"/>
      <c r="D387" s="175"/>
      <c r="E387" s="175"/>
      <c r="F387" s="175"/>
      <c r="G387" s="175"/>
      <c r="H387" s="175"/>
      <c r="I387" s="175"/>
      <c r="J387" s="175"/>
      <c r="K387" s="175"/>
      <c r="L387" s="175"/>
      <c r="M387" s="175"/>
      <c r="N387" s="175"/>
      <c r="O387" s="175"/>
      <c r="P387" s="175"/>
    </row>
    <row r="388">
      <c r="A388" s="175"/>
      <c r="B388" s="175"/>
      <c r="C388" s="175"/>
      <c r="D388" s="175"/>
      <c r="E388" s="175"/>
      <c r="F388" s="175"/>
      <c r="G388" s="175"/>
      <c r="H388" s="175"/>
      <c r="I388" s="175"/>
      <c r="J388" s="175"/>
      <c r="K388" s="175"/>
      <c r="L388" s="175"/>
      <c r="M388" s="175"/>
      <c r="N388" s="175"/>
      <c r="O388" s="175"/>
      <c r="P388" s="175"/>
    </row>
    <row r="389">
      <c r="A389" s="175"/>
      <c r="B389" s="175"/>
      <c r="C389" s="175"/>
      <c r="D389" s="175"/>
      <c r="E389" s="175"/>
      <c r="F389" s="175"/>
      <c r="G389" s="175"/>
      <c r="H389" s="175"/>
      <c r="I389" s="175"/>
      <c r="J389" s="175"/>
      <c r="K389" s="175"/>
      <c r="L389" s="175"/>
      <c r="M389" s="175"/>
      <c r="N389" s="175"/>
      <c r="O389" s="175"/>
      <c r="P389" s="175"/>
    </row>
    <row r="390">
      <c r="A390" s="175"/>
      <c r="B390" s="175"/>
      <c r="C390" s="175"/>
      <c r="D390" s="175"/>
      <c r="E390" s="175"/>
      <c r="F390" s="175"/>
      <c r="G390" s="175"/>
      <c r="H390" s="175"/>
      <c r="I390" s="175"/>
      <c r="J390" s="175"/>
      <c r="K390" s="175"/>
      <c r="L390" s="175"/>
      <c r="M390" s="175"/>
      <c r="N390" s="175"/>
      <c r="O390" s="175"/>
      <c r="P390" s="175"/>
    </row>
    <row r="391">
      <c r="A391" s="175"/>
      <c r="B391" s="175"/>
      <c r="C391" s="175"/>
      <c r="D391" s="175"/>
      <c r="E391" s="175"/>
      <c r="F391" s="175"/>
      <c r="G391" s="175"/>
      <c r="H391" s="175"/>
      <c r="I391" s="175"/>
      <c r="J391" s="175"/>
      <c r="K391" s="175"/>
      <c r="L391" s="175"/>
      <c r="M391" s="175"/>
      <c r="N391" s="175"/>
      <c r="O391" s="175"/>
      <c r="P391" s="175"/>
    </row>
    <row r="392">
      <c r="A392" s="175"/>
      <c r="B392" s="175"/>
      <c r="C392" s="175"/>
      <c r="D392" s="175"/>
      <c r="E392" s="175"/>
      <c r="F392" s="175"/>
      <c r="G392" s="175"/>
      <c r="H392" s="175"/>
      <c r="I392" s="175"/>
      <c r="J392" s="175"/>
      <c r="K392" s="175"/>
      <c r="L392" s="175"/>
      <c r="M392" s="175"/>
      <c r="N392" s="175"/>
      <c r="O392" s="175"/>
      <c r="P392" s="175"/>
    </row>
    <row r="393">
      <c r="A393" s="175"/>
      <c r="B393" s="175"/>
      <c r="C393" s="175"/>
      <c r="D393" s="175"/>
      <c r="E393" s="175"/>
      <c r="F393" s="175"/>
      <c r="G393" s="175"/>
      <c r="H393" s="175"/>
      <c r="I393" s="175"/>
      <c r="J393" s="175"/>
      <c r="K393" s="175"/>
      <c r="L393" s="175"/>
      <c r="M393" s="175"/>
      <c r="N393" s="175"/>
      <c r="O393" s="175"/>
      <c r="P393" s="175"/>
    </row>
    <row r="394">
      <c r="A394" s="175"/>
      <c r="B394" s="175"/>
      <c r="C394" s="175"/>
      <c r="D394" s="175"/>
      <c r="E394" s="175"/>
      <c r="F394" s="175"/>
      <c r="G394" s="175"/>
      <c r="H394" s="175"/>
      <c r="I394" s="175"/>
      <c r="J394" s="175"/>
      <c r="K394" s="175"/>
      <c r="L394" s="175"/>
      <c r="M394" s="175"/>
      <c r="N394" s="175"/>
      <c r="O394" s="175"/>
      <c r="P394" s="175"/>
    </row>
    <row r="395">
      <c r="A395" s="175"/>
      <c r="B395" s="175"/>
      <c r="C395" s="175"/>
      <c r="D395" s="175"/>
      <c r="E395" s="175"/>
      <c r="F395" s="175"/>
      <c r="G395" s="175"/>
      <c r="H395" s="175"/>
      <c r="I395" s="175"/>
      <c r="J395" s="175"/>
      <c r="K395" s="175"/>
      <c r="L395" s="175"/>
      <c r="M395" s="175"/>
      <c r="N395" s="175"/>
      <c r="O395" s="175"/>
      <c r="P395" s="175"/>
    </row>
    <row r="396">
      <c r="A396" s="175"/>
      <c r="B396" s="175"/>
      <c r="C396" s="175"/>
      <c r="D396" s="175"/>
      <c r="E396" s="175"/>
      <c r="F396" s="175"/>
      <c r="G396" s="175"/>
      <c r="H396" s="175"/>
      <c r="I396" s="175"/>
      <c r="J396" s="175"/>
      <c r="K396" s="175"/>
      <c r="L396" s="175"/>
      <c r="M396" s="175"/>
      <c r="N396" s="175"/>
      <c r="O396" s="175"/>
      <c r="P396" s="175"/>
    </row>
    <row r="397">
      <c r="A397" s="175"/>
      <c r="B397" s="175"/>
      <c r="C397" s="175"/>
      <c r="D397" s="175"/>
      <c r="E397" s="175"/>
      <c r="F397" s="175"/>
      <c r="G397" s="175"/>
      <c r="H397" s="175"/>
      <c r="I397" s="175"/>
      <c r="J397" s="175"/>
      <c r="K397" s="175"/>
      <c r="L397" s="175"/>
      <c r="M397" s="175"/>
      <c r="N397" s="175"/>
      <c r="O397" s="175"/>
      <c r="P397" s="175"/>
    </row>
    <row r="398">
      <c r="A398" s="175"/>
      <c r="B398" s="175"/>
      <c r="C398" s="175"/>
      <c r="D398" s="175"/>
      <c r="E398" s="175"/>
      <c r="F398" s="175"/>
      <c r="G398" s="175"/>
      <c r="H398" s="175"/>
      <c r="I398" s="175"/>
      <c r="J398" s="175"/>
      <c r="K398" s="175"/>
      <c r="L398" s="175"/>
      <c r="M398" s="175"/>
      <c r="N398" s="175"/>
      <c r="O398" s="175"/>
      <c r="P398" s="175"/>
    </row>
    <row r="399">
      <c r="A399" s="175"/>
      <c r="B399" s="175"/>
      <c r="C399" s="175"/>
      <c r="D399" s="175"/>
      <c r="E399" s="175"/>
      <c r="F399" s="175"/>
      <c r="G399" s="175"/>
      <c r="H399" s="175"/>
      <c r="I399" s="175"/>
      <c r="J399" s="175"/>
      <c r="K399" s="175"/>
      <c r="L399" s="175"/>
      <c r="M399" s="175"/>
      <c r="N399" s="175"/>
      <c r="O399" s="175"/>
      <c r="P399" s="175"/>
    </row>
    <row r="400">
      <c r="A400" s="175"/>
      <c r="B400" s="175"/>
      <c r="C400" s="175"/>
      <c r="D400" s="175"/>
      <c r="E400" s="175"/>
      <c r="F400" s="175"/>
      <c r="G400" s="175"/>
      <c r="H400" s="175"/>
      <c r="I400" s="175"/>
      <c r="J400" s="175"/>
      <c r="K400" s="175"/>
      <c r="L400" s="175"/>
      <c r="M400" s="175"/>
      <c r="N400" s="175"/>
      <c r="O400" s="175"/>
      <c r="P400" s="175"/>
    </row>
    <row r="401">
      <c r="A401" s="175"/>
      <c r="B401" s="175"/>
      <c r="C401" s="175"/>
      <c r="D401" s="175"/>
      <c r="E401" s="175"/>
      <c r="F401" s="175"/>
      <c r="G401" s="175"/>
      <c r="H401" s="175"/>
      <c r="I401" s="175"/>
      <c r="J401" s="175"/>
      <c r="K401" s="175"/>
      <c r="L401" s="175"/>
      <c r="M401" s="175"/>
      <c r="N401" s="175"/>
      <c r="O401" s="175"/>
      <c r="P401" s="175"/>
    </row>
    <row r="402">
      <c r="A402" s="175"/>
      <c r="B402" s="175"/>
      <c r="C402" s="175"/>
      <c r="D402" s="175"/>
      <c r="E402" s="175"/>
      <c r="F402" s="175"/>
      <c r="G402" s="175"/>
      <c r="H402" s="175"/>
      <c r="I402" s="175"/>
      <c r="J402" s="175"/>
      <c r="K402" s="175"/>
      <c r="L402" s="175"/>
      <c r="M402" s="175"/>
      <c r="N402" s="175"/>
      <c r="O402" s="175"/>
      <c r="P402" s="175"/>
    </row>
    <row r="403">
      <c r="A403" s="175"/>
      <c r="B403" s="175"/>
      <c r="C403" s="175"/>
      <c r="D403" s="175"/>
      <c r="E403" s="175"/>
      <c r="F403" s="175"/>
      <c r="G403" s="175"/>
      <c r="H403" s="175"/>
      <c r="I403" s="175"/>
      <c r="J403" s="175"/>
      <c r="K403" s="175"/>
      <c r="L403" s="175"/>
      <c r="M403" s="175"/>
      <c r="N403" s="175"/>
      <c r="O403" s="175"/>
      <c r="P403" s="175"/>
    </row>
    <row r="404">
      <c r="A404" s="175"/>
      <c r="B404" s="175"/>
      <c r="C404" s="175"/>
      <c r="D404" s="175"/>
      <c r="E404" s="175"/>
      <c r="F404" s="175"/>
      <c r="G404" s="175"/>
      <c r="H404" s="175"/>
      <c r="I404" s="175"/>
      <c r="J404" s="175"/>
      <c r="K404" s="175"/>
      <c r="L404" s="175"/>
      <c r="M404" s="175"/>
      <c r="N404" s="175"/>
      <c r="O404" s="175"/>
      <c r="P404" s="175"/>
    </row>
    <row r="405">
      <c r="A405" s="175"/>
      <c r="B405" s="175"/>
      <c r="C405" s="175"/>
      <c r="D405" s="175"/>
      <c r="E405" s="175"/>
      <c r="F405" s="175"/>
      <c r="G405" s="175"/>
      <c r="H405" s="175"/>
      <c r="I405" s="175"/>
      <c r="J405" s="175"/>
      <c r="K405" s="175"/>
      <c r="L405" s="175"/>
      <c r="M405" s="175"/>
      <c r="N405" s="175"/>
      <c r="O405" s="175"/>
      <c r="P405" s="175"/>
    </row>
    <row r="406">
      <c r="A406" s="175"/>
      <c r="B406" s="175"/>
      <c r="C406" s="175"/>
      <c r="D406" s="175"/>
      <c r="E406" s="175"/>
      <c r="F406" s="175"/>
      <c r="G406" s="175"/>
      <c r="H406" s="175"/>
      <c r="I406" s="175"/>
      <c r="J406" s="175"/>
      <c r="K406" s="175"/>
      <c r="L406" s="175"/>
      <c r="M406" s="175"/>
      <c r="N406" s="175"/>
      <c r="O406" s="175"/>
      <c r="P406" s="175"/>
    </row>
    <row r="407">
      <c r="A407" s="175"/>
      <c r="B407" s="175"/>
      <c r="C407" s="175"/>
      <c r="D407" s="175"/>
      <c r="E407" s="175"/>
      <c r="F407" s="175"/>
      <c r="G407" s="175"/>
      <c r="H407" s="175"/>
      <c r="I407" s="175"/>
      <c r="J407" s="175"/>
      <c r="K407" s="175"/>
      <c r="L407" s="175"/>
      <c r="M407" s="175"/>
      <c r="N407" s="175"/>
      <c r="O407" s="175"/>
      <c r="P407" s="175"/>
    </row>
    <row r="408">
      <c r="A408" s="175"/>
      <c r="B408" s="175"/>
      <c r="C408" s="175"/>
      <c r="D408" s="175"/>
      <c r="E408" s="175"/>
      <c r="F408" s="175"/>
      <c r="G408" s="175"/>
      <c r="H408" s="175"/>
      <c r="I408" s="175"/>
      <c r="J408" s="175"/>
      <c r="K408" s="175"/>
      <c r="L408" s="175"/>
      <c r="M408" s="175"/>
      <c r="N408" s="175"/>
      <c r="O408" s="175"/>
      <c r="P408" s="175"/>
    </row>
    <row r="409">
      <c r="A409" s="175"/>
      <c r="B409" s="175"/>
      <c r="C409" s="175"/>
      <c r="D409" s="175"/>
      <c r="E409" s="175"/>
      <c r="F409" s="175"/>
      <c r="G409" s="175"/>
      <c r="H409" s="175"/>
      <c r="I409" s="175"/>
      <c r="J409" s="175"/>
      <c r="K409" s="175"/>
      <c r="L409" s="175"/>
      <c r="M409" s="175"/>
      <c r="N409" s="175"/>
      <c r="O409" s="175"/>
      <c r="P409" s="175"/>
    </row>
    <row r="410">
      <c r="A410" s="175"/>
      <c r="B410" s="175"/>
      <c r="C410" s="175"/>
      <c r="D410" s="175"/>
      <c r="E410" s="175"/>
      <c r="F410" s="175"/>
      <c r="G410" s="175"/>
      <c r="H410" s="175"/>
      <c r="I410" s="175"/>
      <c r="J410" s="175"/>
      <c r="K410" s="175"/>
      <c r="L410" s="175"/>
      <c r="M410" s="175"/>
      <c r="N410" s="175"/>
      <c r="O410" s="175"/>
      <c r="P410" s="175"/>
    </row>
    <row r="411">
      <c r="A411" s="175"/>
      <c r="B411" s="175"/>
      <c r="C411" s="175"/>
      <c r="D411" s="175"/>
      <c r="E411" s="175"/>
      <c r="F411" s="175"/>
      <c r="G411" s="175"/>
      <c r="H411" s="175"/>
      <c r="I411" s="175"/>
      <c r="J411" s="175"/>
      <c r="K411" s="175"/>
      <c r="L411" s="175"/>
      <c r="M411" s="175"/>
      <c r="N411" s="175"/>
      <c r="O411" s="175"/>
      <c r="P411" s="175"/>
    </row>
    <row r="412">
      <c r="A412" s="175"/>
      <c r="B412" s="175"/>
      <c r="C412" s="175"/>
      <c r="D412" s="175"/>
      <c r="E412" s="175"/>
      <c r="F412" s="175"/>
      <c r="G412" s="175"/>
      <c r="H412" s="175"/>
      <c r="I412" s="175"/>
      <c r="J412" s="175"/>
      <c r="K412" s="175"/>
      <c r="L412" s="175"/>
      <c r="M412" s="175"/>
      <c r="N412" s="175"/>
      <c r="O412" s="175"/>
      <c r="P412" s="175"/>
    </row>
    <row r="413">
      <c r="A413" s="175"/>
      <c r="B413" s="175"/>
      <c r="C413" s="175"/>
      <c r="D413" s="175"/>
      <c r="E413" s="175"/>
      <c r="F413" s="175"/>
      <c r="G413" s="175"/>
      <c r="H413" s="175"/>
      <c r="I413" s="175"/>
      <c r="J413" s="175"/>
      <c r="K413" s="175"/>
      <c r="L413" s="175"/>
      <c r="M413" s="175"/>
      <c r="N413" s="175"/>
      <c r="O413" s="175"/>
      <c r="P413" s="175"/>
    </row>
    <row r="414">
      <c r="A414" s="175"/>
      <c r="B414" s="175"/>
      <c r="C414" s="175"/>
      <c r="D414" s="175"/>
      <c r="E414" s="175"/>
      <c r="F414" s="175"/>
      <c r="G414" s="175"/>
      <c r="H414" s="175"/>
      <c r="I414" s="175"/>
      <c r="J414" s="175"/>
      <c r="K414" s="175"/>
      <c r="L414" s="175"/>
      <c r="M414" s="175"/>
      <c r="N414" s="175"/>
      <c r="O414" s="175"/>
      <c r="P414" s="175"/>
    </row>
    <row r="415">
      <c r="A415" s="175"/>
      <c r="B415" s="175"/>
      <c r="C415" s="175"/>
      <c r="D415" s="175"/>
      <c r="E415" s="175"/>
      <c r="F415" s="175"/>
      <c r="G415" s="175"/>
      <c r="H415" s="175"/>
      <c r="I415" s="175"/>
      <c r="J415" s="175"/>
      <c r="K415" s="175"/>
      <c r="L415" s="175"/>
      <c r="M415" s="175"/>
      <c r="N415" s="175"/>
      <c r="O415" s="175"/>
      <c r="P415" s="175"/>
    </row>
    <row r="416">
      <c r="A416" s="175"/>
      <c r="B416" s="175"/>
      <c r="C416" s="175"/>
      <c r="D416" s="175"/>
      <c r="E416" s="175"/>
      <c r="F416" s="175"/>
      <c r="G416" s="175"/>
      <c r="H416" s="175"/>
      <c r="I416" s="175"/>
      <c r="J416" s="175"/>
      <c r="K416" s="175"/>
      <c r="L416" s="175"/>
      <c r="M416" s="175"/>
      <c r="N416" s="175"/>
      <c r="O416" s="175"/>
      <c r="P416" s="175"/>
    </row>
    <row r="417">
      <c r="A417" s="175"/>
      <c r="B417" s="175"/>
      <c r="C417" s="175"/>
      <c r="D417" s="175"/>
      <c r="E417" s="175"/>
      <c r="F417" s="175"/>
      <c r="G417" s="175"/>
      <c r="H417" s="175"/>
      <c r="I417" s="175"/>
      <c r="J417" s="175"/>
      <c r="K417" s="175"/>
      <c r="L417" s="175"/>
      <c r="M417" s="175"/>
      <c r="N417" s="175"/>
      <c r="O417" s="175"/>
      <c r="P417" s="175"/>
    </row>
    <row r="418">
      <c r="A418" s="175"/>
      <c r="B418" s="175"/>
      <c r="C418" s="175"/>
      <c r="D418" s="175"/>
      <c r="E418" s="175"/>
      <c r="F418" s="175"/>
      <c r="G418" s="175"/>
      <c r="H418" s="175"/>
      <c r="I418" s="175"/>
      <c r="J418" s="175"/>
      <c r="K418" s="175"/>
      <c r="L418" s="175"/>
      <c r="M418" s="175"/>
      <c r="N418" s="175"/>
      <c r="O418" s="175"/>
      <c r="P418" s="175"/>
    </row>
    <row r="419">
      <c r="A419" s="175"/>
      <c r="B419" s="175"/>
      <c r="C419" s="175"/>
      <c r="D419" s="175"/>
      <c r="E419" s="175"/>
      <c r="F419" s="175"/>
      <c r="G419" s="175"/>
      <c r="H419" s="175"/>
      <c r="I419" s="175"/>
      <c r="J419" s="175"/>
      <c r="K419" s="175"/>
      <c r="L419" s="175"/>
      <c r="M419" s="175"/>
      <c r="N419" s="175"/>
      <c r="O419" s="175"/>
      <c r="P419" s="175"/>
    </row>
    <row r="420">
      <c r="A420" s="175"/>
      <c r="B420" s="175"/>
      <c r="C420" s="175"/>
      <c r="D420" s="175"/>
      <c r="E420" s="175"/>
      <c r="F420" s="175"/>
      <c r="G420" s="175"/>
      <c r="H420" s="175"/>
      <c r="I420" s="175"/>
      <c r="J420" s="175"/>
      <c r="K420" s="175"/>
      <c r="L420" s="175"/>
      <c r="M420" s="175"/>
      <c r="N420" s="175"/>
      <c r="O420" s="175"/>
      <c r="P420" s="175"/>
    </row>
    <row r="421">
      <c r="A421" s="175"/>
      <c r="B421" s="175"/>
      <c r="C421" s="175"/>
      <c r="D421" s="175"/>
      <c r="E421" s="175"/>
      <c r="F421" s="175"/>
      <c r="G421" s="175"/>
      <c r="H421" s="175"/>
      <c r="I421" s="175"/>
      <c r="J421" s="175"/>
      <c r="K421" s="175"/>
      <c r="L421" s="175"/>
      <c r="M421" s="175"/>
      <c r="N421" s="175"/>
      <c r="O421" s="175"/>
      <c r="P421" s="175"/>
    </row>
    <row r="422">
      <c r="A422" s="175"/>
      <c r="B422" s="175"/>
      <c r="C422" s="175"/>
      <c r="D422" s="175"/>
      <c r="E422" s="175"/>
      <c r="F422" s="175"/>
      <c r="G422" s="175"/>
      <c r="H422" s="175"/>
      <c r="I422" s="175"/>
      <c r="J422" s="175"/>
      <c r="K422" s="175"/>
      <c r="L422" s="175"/>
      <c r="M422" s="175"/>
      <c r="N422" s="175"/>
      <c r="O422" s="175"/>
      <c r="P422" s="175"/>
    </row>
    <row r="423">
      <c r="A423" s="175"/>
      <c r="B423" s="175"/>
      <c r="C423" s="175"/>
      <c r="D423" s="175"/>
      <c r="E423" s="175"/>
      <c r="F423" s="175"/>
      <c r="G423" s="175"/>
      <c r="H423" s="175"/>
      <c r="I423" s="175"/>
      <c r="J423" s="175"/>
      <c r="K423" s="175"/>
      <c r="L423" s="175"/>
      <c r="M423" s="175"/>
      <c r="N423" s="175"/>
      <c r="O423" s="175"/>
      <c r="P423" s="175"/>
    </row>
    <row r="424">
      <c r="A424" s="175"/>
      <c r="B424" s="175"/>
      <c r="C424" s="175"/>
      <c r="D424" s="175"/>
      <c r="E424" s="175"/>
      <c r="F424" s="175"/>
      <c r="G424" s="175"/>
      <c r="H424" s="175"/>
      <c r="I424" s="175"/>
      <c r="J424" s="175"/>
      <c r="K424" s="175"/>
      <c r="L424" s="175"/>
      <c r="M424" s="175"/>
      <c r="N424" s="175"/>
      <c r="O424" s="175"/>
      <c r="P424" s="175"/>
    </row>
    <row r="425">
      <c r="A425" s="175"/>
      <c r="B425" s="175"/>
      <c r="C425" s="175"/>
      <c r="D425" s="175"/>
      <c r="E425" s="175"/>
      <c r="F425" s="175"/>
      <c r="G425" s="175"/>
      <c r="H425" s="175"/>
      <c r="I425" s="175"/>
      <c r="J425" s="175"/>
      <c r="K425" s="175"/>
      <c r="L425" s="175"/>
      <c r="M425" s="175"/>
      <c r="N425" s="175"/>
      <c r="O425" s="175"/>
      <c r="P425" s="175"/>
    </row>
    <row r="426">
      <c r="A426" s="175"/>
      <c r="B426" s="175"/>
      <c r="C426" s="175"/>
      <c r="D426" s="175"/>
      <c r="E426" s="175"/>
      <c r="F426" s="175"/>
      <c r="G426" s="175"/>
      <c r="H426" s="175"/>
      <c r="I426" s="175"/>
      <c r="J426" s="175"/>
      <c r="K426" s="175"/>
      <c r="L426" s="175"/>
      <c r="M426" s="175"/>
      <c r="N426" s="175"/>
      <c r="O426" s="175"/>
      <c r="P426" s="175"/>
    </row>
    <row r="427">
      <c r="A427" s="175"/>
      <c r="B427" s="175"/>
      <c r="C427" s="175"/>
      <c r="D427" s="175"/>
      <c r="E427" s="175"/>
      <c r="F427" s="175"/>
      <c r="G427" s="175"/>
      <c r="H427" s="175"/>
      <c r="I427" s="175"/>
      <c r="J427" s="175"/>
      <c r="K427" s="175"/>
      <c r="L427" s="175"/>
      <c r="M427" s="175"/>
      <c r="N427" s="175"/>
      <c r="O427" s="175"/>
      <c r="P427" s="175"/>
    </row>
    <row r="428">
      <c r="A428" s="175"/>
      <c r="B428" s="175"/>
      <c r="C428" s="175"/>
      <c r="D428" s="175"/>
      <c r="E428" s="175"/>
      <c r="F428" s="175"/>
      <c r="G428" s="175"/>
      <c r="H428" s="175"/>
      <c r="I428" s="175"/>
      <c r="J428" s="175"/>
      <c r="K428" s="175"/>
      <c r="L428" s="175"/>
      <c r="M428" s="175"/>
      <c r="N428" s="175"/>
      <c r="O428" s="175"/>
      <c r="P428" s="175"/>
    </row>
    <row r="429">
      <c r="A429" s="175"/>
      <c r="B429" s="175"/>
      <c r="C429" s="175"/>
      <c r="D429" s="175"/>
      <c r="E429" s="175"/>
      <c r="F429" s="175"/>
      <c r="G429" s="175"/>
      <c r="H429" s="175"/>
      <c r="I429" s="175"/>
      <c r="J429" s="175"/>
      <c r="K429" s="175"/>
      <c r="L429" s="175"/>
      <c r="M429" s="175"/>
      <c r="N429" s="175"/>
      <c r="O429" s="175"/>
      <c r="P429" s="175"/>
    </row>
    <row r="430">
      <c r="A430" s="175"/>
      <c r="B430" s="175"/>
      <c r="C430" s="175"/>
      <c r="D430" s="175"/>
      <c r="E430" s="175"/>
      <c r="F430" s="175"/>
      <c r="G430" s="175"/>
      <c r="H430" s="175"/>
      <c r="I430" s="175"/>
      <c r="J430" s="175"/>
      <c r="K430" s="175"/>
      <c r="L430" s="175"/>
      <c r="M430" s="175"/>
      <c r="N430" s="175"/>
      <c r="O430" s="175"/>
      <c r="P430" s="175"/>
    </row>
    <row r="431">
      <c r="A431" s="175"/>
      <c r="B431" s="175"/>
      <c r="C431" s="175"/>
      <c r="D431" s="175"/>
      <c r="E431" s="175"/>
      <c r="F431" s="175"/>
      <c r="G431" s="175"/>
      <c r="H431" s="175"/>
      <c r="I431" s="175"/>
      <c r="J431" s="175"/>
      <c r="K431" s="175"/>
      <c r="L431" s="175"/>
      <c r="M431" s="175"/>
      <c r="N431" s="175"/>
      <c r="O431" s="175"/>
      <c r="P431" s="175"/>
    </row>
    <row r="432">
      <c r="A432" s="175"/>
      <c r="B432" s="175"/>
      <c r="C432" s="175"/>
      <c r="D432" s="175"/>
      <c r="E432" s="175"/>
      <c r="F432" s="175"/>
      <c r="G432" s="175"/>
      <c r="H432" s="175"/>
      <c r="I432" s="175"/>
      <c r="J432" s="175"/>
      <c r="K432" s="175"/>
      <c r="L432" s="175"/>
      <c r="M432" s="175"/>
      <c r="N432" s="175"/>
      <c r="O432" s="175"/>
      <c r="P432" s="175"/>
    </row>
    <row r="433">
      <c r="A433" s="175"/>
      <c r="B433" s="175"/>
      <c r="C433" s="175"/>
      <c r="D433" s="175"/>
      <c r="E433" s="175"/>
      <c r="F433" s="175"/>
      <c r="G433" s="175"/>
      <c r="H433" s="175"/>
      <c r="I433" s="175"/>
      <c r="J433" s="175"/>
      <c r="K433" s="175"/>
      <c r="L433" s="175"/>
      <c r="M433" s="175"/>
      <c r="N433" s="175"/>
      <c r="O433" s="175"/>
      <c r="P433" s="175"/>
    </row>
    <row r="434">
      <c r="A434" s="175"/>
      <c r="B434" s="175"/>
      <c r="C434" s="175"/>
      <c r="D434" s="175"/>
      <c r="E434" s="175"/>
      <c r="F434" s="175"/>
      <c r="G434" s="175"/>
      <c r="H434" s="175"/>
      <c r="I434" s="175"/>
      <c r="J434" s="175"/>
      <c r="K434" s="175"/>
      <c r="L434" s="175"/>
      <c r="M434" s="175"/>
      <c r="N434" s="175"/>
      <c r="O434" s="175"/>
      <c r="P434" s="175"/>
    </row>
    <row r="435">
      <c r="A435" s="175"/>
      <c r="B435" s="175"/>
      <c r="C435" s="175"/>
      <c r="D435" s="175"/>
      <c r="E435" s="175"/>
      <c r="F435" s="175"/>
      <c r="G435" s="175"/>
      <c r="H435" s="175"/>
      <c r="I435" s="175"/>
      <c r="J435" s="175"/>
      <c r="K435" s="175"/>
      <c r="L435" s="175"/>
      <c r="M435" s="175"/>
      <c r="N435" s="175"/>
      <c r="O435" s="175"/>
      <c r="P435" s="175"/>
    </row>
    <row r="436">
      <c r="A436" s="175"/>
      <c r="B436" s="175"/>
      <c r="C436" s="175"/>
      <c r="D436" s="175"/>
      <c r="E436" s="175"/>
      <c r="F436" s="175"/>
      <c r="G436" s="175"/>
      <c r="H436" s="175"/>
      <c r="I436" s="175"/>
      <c r="J436" s="175"/>
      <c r="K436" s="175"/>
      <c r="L436" s="175"/>
      <c r="M436" s="175"/>
      <c r="N436" s="175"/>
      <c r="O436" s="175"/>
      <c r="P436" s="175"/>
    </row>
    <row r="437">
      <c r="A437" s="175"/>
      <c r="B437" s="175"/>
      <c r="C437" s="175"/>
      <c r="D437" s="175"/>
      <c r="E437" s="175"/>
      <c r="F437" s="175"/>
      <c r="G437" s="175"/>
      <c r="H437" s="175"/>
      <c r="I437" s="175"/>
      <c r="J437" s="175"/>
      <c r="K437" s="175"/>
      <c r="L437" s="175"/>
      <c r="M437" s="175"/>
      <c r="N437" s="175"/>
      <c r="O437" s="175"/>
      <c r="P437" s="175"/>
    </row>
    <row r="438">
      <c r="A438" s="175"/>
      <c r="B438" s="175"/>
      <c r="C438" s="175"/>
      <c r="D438" s="175"/>
      <c r="E438" s="175"/>
      <c r="F438" s="175"/>
      <c r="G438" s="175"/>
      <c r="H438" s="175"/>
      <c r="I438" s="175"/>
      <c r="J438" s="175"/>
      <c r="K438" s="175"/>
      <c r="L438" s="175"/>
      <c r="M438" s="175"/>
      <c r="N438" s="175"/>
      <c r="O438" s="175"/>
      <c r="P438" s="175"/>
    </row>
    <row r="439">
      <c r="A439" s="175"/>
      <c r="B439" s="175"/>
      <c r="C439" s="175"/>
      <c r="D439" s="175"/>
      <c r="E439" s="175"/>
      <c r="F439" s="175"/>
      <c r="G439" s="175"/>
      <c r="H439" s="175"/>
      <c r="I439" s="175"/>
      <c r="J439" s="175"/>
      <c r="K439" s="175"/>
      <c r="L439" s="175"/>
      <c r="M439" s="175"/>
      <c r="N439" s="175"/>
      <c r="O439" s="175"/>
      <c r="P439" s="175"/>
    </row>
    <row r="440">
      <c r="A440" s="175"/>
      <c r="B440" s="175"/>
      <c r="C440" s="175"/>
      <c r="D440" s="175"/>
      <c r="E440" s="175"/>
      <c r="F440" s="175"/>
      <c r="G440" s="175"/>
      <c r="H440" s="175"/>
      <c r="I440" s="175"/>
      <c r="J440" s="175"/>
      <c r="K440" s="175"/>
      <c r="L440" s="175"/>
      <c r="M440" s="175"/>
      <c r="N440" s="175"/>
      <c r="O440" s="175"/>
      <c r="P440" s="175"/>
    </row>
    <row r="441">
      <c r="A441" s="175"/>
      <c r="B441" s="175"/>
      <c r="C441" s="175"/>
      <c r="D441" s="175"/>
      <c r="E441" s="175"/>
      <c r="F441" s="175"/>
      <c r="G441" s="175"/>
      <c r="H441" s="175"/>
      <c r="I441" s="175"/>
      <c r="J441" s="175"/>
      <c r="K441" s="175"/>
      <c r="L441" s="175"/>
      <c r="M441" s="175"/>
      <c r="N441" s="175"/>
      <c r="O441" s="175"/>
      <c r="P441" s="175"/>
    </row>
    <row r="442">
      <c r="A442" s="175"/>
      <c r="B442" s="175"/>
      <c r="C442" s="175"/>
      <c r="D442" s="175"/>
      <c r="E442" s="175"/>
      <c r="F442" s="175"/>
      <c r="G442" s="175"/>
      <c r="H442" s="175"/>
      <c r="I442" s="175"/>
      <c r="J442" s="175"/>
      <c r="K442" s="175"/>
      <c r="L442" s="175"/>
      <c r="M442" s="175"/>
      <c r="N442" s="175"/>
      <c r="O442" s="175"/>
      <c r="P442" s="175"/>
    </row>
    <row r="443">
      <c r="A443" s="175"/>
      <c r="B443" s="175"/>
      <c r="C443" s="175"/>
      <c r="D443" s="175"/>
      <c r="E443" s="175"/>
      <c r="F443" s="175"/>
      <c r="G443" s="175"/>
      <c r="H443" s="175"/>
      <c r="I443" s="175"/>
      <c r="J443" s="175"/>
      <c r="K443" s="175"/>
      <c r="L443" s="175"/>
      <c r="M443" s="175"/>
      <c r="N443" s="175"/>
      <c r="O443" s="175"/>
      <c r="P443" s="175"/>
    </row>
    <row r="444">
      <c r="A444" s="175"/>
      <c r="B444" s="175"/>
      <c r="C444" s="175"/>
      <c r="D444" s="175"/>
      <c r="E444" s="175"/>
      <c r="F444" s="175"/>
      <c r="G444" s="175"/>
      <c r="H444" s="175"/>
      <c r="I444" s="175"/>
      <c r="J444" s="175"/>
      <c r="K444" s="175"/>
      <c r="L444" s="175"/>
      <c r="M444" s="175"/>
      <c r="N444" s="175"/>
      <c r="O444" s="175"/>
      <c r="P444" s="175"/>
    </row>
    <row r="445">
      <c r="A445" s="175"/>
      <c r="B445" s="175"/>
      <c r="C445" s="175"/>
      <c r="D445" s="175"/>
      <c r="E445" s="175"/>
      <c r="F445" s="175"/>
      <c r="G445" s="175"/>
      <c r="H445" s="175"/>
      <c r="I445" s="175"/>
      <c r="J445" s="175"/>
      <c r="K445" s="175"/>
      <c r="L445" s="175"/>
      <c r="M445" s="175"/>
      <c r="N445" s="175"/>
      <c r="O445" s="175"/>
      <c r="P445" s="175"/>
    </row>
    <row r="446">
      <c r="A446" s="175"/>
      <c r="B446" s="175"/>
      <c r="C446" s="175"/>
      <c r="D446" s="175"/>
      <c r="E446" s="175"/>
      <c r="F446" s="175"/>
      <c r="G446" s="175"/>
      <c r="H446" s="175"/>
      <c r="I446" s="175"/>
      <c r="J446" s="175"/>
      <c r="K446" s="175"/>
      <c r="L446" s="175"/>
      <c r="M446" s="175"/>
      <c r="N446" s="175"/>
      <c r="O446" s="175"/>
      <c r="P446" s="175"/>
    </row>
    <row r="447">
      <c r="A447" s="175"/>
      <c r="B447" s="175"/>
      <c r="C447" s="175"/>
      <c r="D447" s="175"/>
      <c r="E447" s="175"/>
      <c r="F447" s="175"/>
      <c r="G447" s="175"/>
      <c r="H447" s="175"/>
      <c r="I447" s="175"/>
      <c r="J447" s="175"/>
      <c r="K447" s="175"/>
      <c r="L447" s="175"/>
      <c r="M447" s="175"/>
      <c r="N447" s="175"/>
      <c r="O447" s="175"/>
      <c r="P447" s="175"/>
    </row>
    <row r="448">
      <c r="A448" s="175"/>
      <c r="B448" s="175"/>
      <c r="C448" s="175"/>
      <c r="D448" s="175"/>
      <c r="E448" s="175"/>
      <c r="F448" s="175"/>
      <c r="G448" s="175"/>
      <c r="H448" s="175"/>
      <c r="I448" s="175"/>
      <c r="J448" s="175"/>
      <c r="K448" s="175"/>
      <c r="L448" s="175"/>
      <c r="M448" s="175"/>
      <c r="N448" s="175"/>
      <c r="O448" s="175"/>
      <c r="P448" s="175"/>
    </row>
    <row r="449">
      <c r="A449" s="175"/>
      <c r="B449" s="175"/>
      <c r="C449" s="175"/>
      <c r="D449" s="175"/>
      <c r="E449" s="175"/>
      <c r="F449" s="175"/>
      <c r="G449" s="175"/>
      <c r="H449" s="175"/>
      <c r="I449" s="175"/>
      <c r="J449" s="175"/>
      <c r="K449" s="175"/>
      <c r="L449" s="175"/>
      <c r="M449" s="175"/>
      <c r="N449" s="175"/>
      <c r="O449" s="175"/>
      <c r="P449" s="175"/>
    </row>
    <row r="450">
      <c r="A450" s="175"/>
      <c r="B450" s="175"/>
      <c r="C450" s="175"/>
      <c r="D450" s="175"/>
      <c r="E450" s="175"/>
      <c r="F450" s="175"/>
      <c r="G450" s="175"/>
      <c r="H450" s="175"/>
      <c r="I450" s="175"/>
      <c r="J450" s="175"/>
      <c r="K450" s="175"/>
      <c r="L450" s="175"/>
      <c r="M450" s="175"/>
      <c r="N450" s="175"/>
      <c r="O450" s="175"/>
      <c r="P450" s="175"/>
    </row>
    <row r="451">
      <c r="A451" s="175"/>
      <c r="B451" s="175"/>
      <c r="C451" s="175"/>
      <c r="D451" s="175"/>
      <c r="E451" s="175"/>
      <c r="F451" s="175"/>
      <c r="G451" s="175"/>
      <c r="H451" s="175"/>
      <c r="I451" s="175"/>
      <c r="J451" s="175"/>
      <c r="K451" s="175"/>
      <c r="L451" s="175"/>
      <c r="M451" s="175"/>
      <c r="N451" s="175"/>
      <c r="O451" s="175"/>
      <c r="P451" s="175"/>
    </row>
    <row r="452">
      <c r="A452" s="175"/>
      <c r="B452" s="175"/>
      <c r="C452" s="175"/>
      <c r="D452" s="175"/>
      <c r="E452" s="175"/>
      <c r="F452" s="175"/>
      <c r="G452" s="175"/>
      <c r="H452" s="175"/>
      <c r="I452" s="175"/>
      <c r="J452" s="175"/>
      <c r="K452" s="175"/>
      <c r="L452" s="175"/>
      <c r="M452" s="175"/>
      <c r="N452" s="175"/>
      <c r="O452" s="175"/>
      <c r="P452" s="175"/>
    </row>
    <row r="453">
      <c r="A453" s="175"/>
      <c r="B453" s="175"/>
      <c r="C453" s="175"/>
      <c r="D453" s="175"/>
      <c r="E453" s="175"/>
      <c r="F453" s="175"/>
      <c r="G453" s="175"/>
      <c r="H453" s="175"/>
      <c r="I453" s="175"/>
      <c r="J453" s="175"/>
      <c r="K453" s="175"/>
      <c r="L453" s="175"/>
      <c r="M453" s="175"/>
      <c r="N453" s="175"/>
      <c r="O453" s="175"/>
      <c r="P453" s="175"/>
    </row>
    <row r="454">
      <c r="A454" s="175"/>
      <c r="B454" s="175"/>
      <c r="C454" s="175"/>
      <c r="D454" s="175"/>
      <c r="E454" s="175"/>
      <c r="F454" s="175"/>
      <c r="G454" s="175"/>
      <c r="H454" s="175"/>
      <c r="I454" s="175"/>
      <c r="J454" s="175"/>
      <c r="K454" s="175"/>
      <c r="L454" s="175"/>
      <c r="M454" s="175"/>
      <c r="N454" s="175"/>
      <c r="O454" s="175"/>
      <c r="P454" s="175"/>
    </row>
    <row r="455">
      <c r="A455" s="175"/>
      <c r="B455" s="175"/>
      <c r="C455" s="175"/>
      <c r="D455" s="175"/>
      <c r="E455" s="175"/>
      <c r="F455" s="175"/>
      <c r="G455" s="175"/>
      <c r="H455" s="175"/>
      <c r="I455" s="175"/>
      <c r="J455" s="175"/>
      <c r="K455" s="175"/>
      <c r="L455" s="175"/>
      <c r="M455" s="175"/>
      <c r="N455" s="175"/>
      <c r="O455" s="175"/>
      <c r="P455" s="175"/>
    </row>
    <row r="456">
      <c r="A456" s="175"/>
      <c r="B456" s="175"/>
      <c r="C456" s="175"/>
      <c r="D456" s="175"/>
      <c r="E456" s="175"/>
      <c r="F456" s="175"/>
      <c r="G456" s="175"/>
      <c r="H456" s="175"/>
      <c r="I456" s="175"/>
      <c r="J456" s="175"/>
      <c r="K456" s="175"/>
      <c r="L456" s="175"/>
      <c r="M456" s="175"/>
      <c r="N456" s="175"/>
      <c r="O456" s="175"/>
      <c r="P456" s="175"/>
    </row>
    <row r="457">
      <c r="A457" s="175"/>
      <c r="B457" s="175"/>
      <c r="C457" s="175"/>
      <c r="D457" s="175"/>
      <c r="E457" s="175"/>
      <c r="F457" s="175"/>
      <c r="G457" s="175"/>
      <c r="H457" s="175"/>
      <c r="I457" s="175"/>
      <c r="J457" s="175"/>
      <c r="K457" s="175"/>
      <c r="L457" s="175"/>
      <c r="M457" s="175"/>
      <c r="N457" s="175"/>
      <c r="O457" s="175"/>
      <c r="P457" s="175"/>
    </row>
    <row r="458">
      <c r="A458" s="175"/>
      <c r="B458" s="175"/>
      <c r="C458" s="175"/>
      <c r="D458" s="175"/>
      <c r="E458" s="175"/>
      <c r="F458" s="175"/>
      <c r="G458" s="175"/>
      <c r="H458" s="175"/>
      <c r="I458" s="175"/>
      <c r="J458" s="175"/>
      <c r="K458" s="175"/>
      <c r="L458" s="175"/>
      <c r="M458" s="175"/>
      <c r="N458" s="175"/>
      <c r="O458" s="175"/>
      <c r="P458" s="175"/>
    </row>
    <row r="459">
      <c r="A459" s="175"/>
      <c r="B459" s="175"/>
      <c r="C459" s="175"/>
      <c r="D459" s="175"/>
      <c r="E459" s="175"/>
      <c r="F459" s="175"/>
      <c r="G459" s="175"/>
      <c r="H459" s="175"/>
      <c r="I459" s="175"/>
      <c r="J459" s="175"/>
      <c r="K459" s="175"/>
      <c r="L459" s="175"/>
      <c r="M459" s="175"/>
      <c r="N459" s="175"/>
      <c r="O459" s="175"/>
      <c r="P459" s="175"/>
    </row>
    <row r="460">
      <c r="A460" s="175"/>
      <c r="B460" s="175"/>
      <c r="C460" s="175"/>
      <c r="D460" s="175"/>
      <c r="E460" s="175"/>
      <c r="F460" s="175"/>
      <c r="G460" s="175"/>
      <c r="H460" s="175"/>
      <c r="I460" s="175"/>
      <c r="J460" s="175"/>
      <c r="K460" s="175"/>
      <c r="L460" s="175"/>
      <c r="M460" s="175"/>
      <c r="N460" s="175"/>
      <c r="O460" s="175"/>
      <c r="P460" s="175"/>
    </row>
    <row r="461">
      <c r="A461" s="175"/>
      <c r="B461" s="175"/>
      <c r="C461" s="175"/>
      <c r="D461" s="175"/>
      <c r="E461" s="175"/>
      <c r="F461" s="175"/>
      <c r="G461" s="175"/>
      <c r="H461" s="175"/>
      <c r="I461" s="175"/>
      <c r="J461" s="175"/>
      <c r="K461" s="175"/>
      <c r="L461" s="175"/>
      <c r="M461" s="175"/>
      <c r="N461" s="175"/>
      <c r="O461" s="175"/>
      <c r="P461" s="175"/>
    </row>
    <row r="462">
      <c r="A462" s="175"/>
      <c r="B462" s="175"/>
      <c r="C462" s="175"/>
      <c r="D462" s="175"/>
      <c r="E462" s="175"/>
      <c r="F462" s="175"/>
      <c r="G462" s="175"/>
      <c r="H462" s="175"/>
      <c r="I462" s="175"/>
      <c r="J462" s="175"/>
      <c r="K462" s="175"/>
      <c r="L462" s="175"/>
      <c r="M462" s="175"/>
      <c r="N462" s="175"/>
      <c r="O462" s="175"/>
      <c r="P462" s="175"/>
    </row>
    <row r="463">
      <c r="A463" s="175"/>
      <c r="B463" s="175"/>
      <c r="C463" s="175"/>
      <c r="D463" s="175"/>
      <c r="E463" s="175"/>
      <c r="F463" s="175"/>
      <c r="G463" s="175"/>
      <c r="H463" s="175"/>
      <c r="I463" s="175"/>
      <c r="J463" s="175"/>
      <c r="K463" s="175"/>
      <c r="L463" s="175"/>
      <c r="M463" s="175"/>
      <c r="N463" s="175"/>
      <c r="O463" s="175"/>
      <c r="P463" s="175"/>
    </row>
    <row r="464">
      <c r="A464" s="175"/>
      <c r="B464" s="175"/>
      <c r="C464" s="175"/>
      <c r="D464" s="175"/>
      <c r="E464" s="175"/>
      <c r="F464" s="175"/>
      <c r="G464" s="175"/>
      <c r="H464" s="175"/>
      <c r="I464" s="175"/>
      <c r="J464" s="175"/>
      <c r="K464" s="175"/>
      <c r="L464" s="175"/>
      <c r="M464" s="175"/>
      <c r="N464" s="175"/>
      <c r="O464" s="175"/>
      <c r="P464" s="175"/>
    </row>
    <row r="465">
      <c r="A465" s="175"/>
      <c r="B465" s="175"/>
      <c r="C465" s="175"/>
      <c r="D465" s="175"/>
      <c r="E465" s="175"/>
      <c r="F465" s="175"/>
      <c r="G465" s="175"/>
      <c r="H465" s="175"/>
      <c r="I465" s="175"/>
      <c r="J465" s="175"/>
      <c r="K465" s="175"/>
      <c r="L465" s="175"/>
      <c r="M465" s="175"/>
      <c r="N465" s="175"/>
      <c r="O465" s="175"/>
      <c r="P465" s="175"/>
    </row>
    <row r="466">
      <c r="A466" s="175"/>
      <c r="B466" s="175"/>
      <c r="C466" s="175"/>
      <c r="D466" s="175"/>
      <c r="E466" s="175"/>
      <c r="F466" s="175"/>
      <c r="G466" s="175"/>
      <c r="H466" s="175"/>
      <c r="I466" s="175"/>
      <c r="J466" s="175"/>
      <c r="K466" s="175"/>
      <c r="L466" s="175"/>
      <c r="M466" s="175"/>
      <c r="N466" s="175"/>
      <c r="O466" s="175"/>
      <c r="P466" s="175"/>
    </row>
    <row r="467">
      <c r="A467" s="175"/>
      <c r="B467" s="175"/>
      <c r="C467" s="175"/>
      <c r="D467" s="175"/>
      <c r="E467" s="175"/>
      <c r="F467" s="175"/>
      <c r="G467" s="175"/>
      <c r="H467" s="175"/>
      <c r="I467" s="175"/>
      <c r="J467" s="175"/>
      <c r="K467" s="175"/>
      <c r="L467" s="175"/>
      <c r="M467" s="175"/>
      <c r="N467" s="175"/>
      <c r="O467" s="175"/>
      <c r="P467" s="175"/>
    </row>
    <row r="468">
      <c r="A468" s="175"/>
      <c r="B468" s="175"/>
      <c r="C468" s="175"/>
      <c r="D468" s="175"/>
      <c r="E468" s="175"/>
      <c r="F468" s="175"/>
      <c r="G468" s="175"/>
      <c r="H468" s="175"/>
      <c r="I468" s="175"/>
      <c r="J468" s="175"/>
      <c r="K468" s="175"/>
      <c r="L468" s="175"/>
      <c r="M468" s="175"/>
      <c r="N468" s="175"/>
      <c r="O468" s="175"/>
      <c r="P468" s="175"/>
    </row>
    <row r="469">
      <c r="A469" s="175"/>
      <c r="B469" s="175"/>
      <c r="C469" s="175"/>
      <c r="D469" s="175"/>
      <c r="E469" s="175"/>
      <c r="F469" s="175"/>
      <c r="G469" s="175"/>
      <c r="H469" s="175"/>
      <c r="I469" s="175"/>
      <c r="J469" s="175"/>
      <c r="K469" s="175"/>
      <c r="L469" s="175"/>
      <c r="M469" s="175"/>
      <c r="N469" s="175"/>
      <c r="O469" s="175"/>
      <c r="P469" s="175"/>
    </row>
    <row r="470">
      <c r="A470" s="175"/>
      <c r="B470" s="175"/>
      <c r="C470" s="175"/>
      <c r="D470" s="175"/>
      <c r="E470" s="175"/>
      <c r="F470" s="175"/>
      <c r="G470" s="175"/>
      <c r="H470" s="175"/>
      <c r="I470" s="175"/>
      <c r="J470" s="175"/>
      <c r="K470" s="175"/>
      <c r="L470" s="175"/>
      <c r="M470" s="175"/>
      <c r="N470" s="175"/>
      <c r="O470" s="175"/>
      <c r="P470" s="175"/>
    </row>
    <row r="471">
      <c r="A471" s="175"/>
      <c r="B471" s="175"/>
      <c r="C471" s="175"/>
      <c r="D471" s="175"/>
      <c r="E471" s="175"/>
      <c r="F471" s="175"/>
      <c r="G471" s="175"/>
      <c r="H471" s="175"/>
      <c r="I471" s="175"/>
      <c r="J471" s="175"/>
      <c r="K471" s="175"/>
      <c r="L471" s="175"/>
      <c r="M471" s="175"/>
      <c r="N471" s="175"/>
      <c r="O471" s="175"/>
      <c r="P471" s="175"/>
    </row>
    <row r="472">
      <c r="A472" s="175"/>
      <c r="B472" s="175"/>
      <c r="C472" s="175"/>
      <c r="D472" s="175"/>
      <c r="E472" s="175"/>
      <c r="F472" s="175"/>
      <c r="G472" s="175"/>
      <c r="H472" s="175"/>
      <c r="I472" s="175"/>
      <c r="J472" s="175"/>
      <c r="K472" s="175"/>
      <c r="L472" s="175"/>
      <c r="M472" s="175"/>
      <c r="N472" s="175"/>
      <c r="O472" s="175"/>
      <c r="P472" s="175"/>
    </row>
    <row r="473">
      <c r="A473" s="175"/>
      <c r="B473" s="175"/>
      <c r="C473" s="175"/>
      <c r="D473" s="175"/>
      <c r="E473" s="175"/>
      <c r="F473" s="175"/>
      <c r="G473" s="175"/>
      <c r="H473" s="175"/>
      <c r="I473" s="175"/>
      <c r="J473" s="175"/>
      <c r="K473" s="175"/>
      <c r="L473" s="175"/>
      <c r="M473" s="175"/>
      <c r="N473" s="175"/>
      <c r="O473" s="175"/>
      <c r="P473" s="175"/>
    </row>
    <row r="474">
      <c r="A474" s="175"/>
      <c r="B474" s="175"/>
      <c r="C474" s="175"/>
      <c r="D474" s="175"/>
      <c r="E474" s="175"/>
      <c r="F474" s="175"/>
      <c r="G474" s="175"/>
      <c r="H474" s="175"/>
      <c r="I474" s="175"/>
      <c r="J474" s="175"/>
      <c r="K474" s="175"/>
      <c r="L474" s="175"/>
      <c r="M474" s="175"/>
      <c r="N474" s="175"/>
      <c r="O474" s="175"/>
      <c r="P474" s="175"/>
    </row>
    <row r="475">
      <c r="A475" s="175"/>
      <c r="B475" s="175"/>
      <c r="C475" s="175"/>
      <c r="D475" s="175"/>
      <c r="E475" s="175"/>
      <c r="F475" s="175"/>
      <c r="G475" s="175"/>
      <c r="H475" s="175"/>
      <c r="I475" s="175"/>
      <c r="J475" s="175"/>
      <c r="K475" s="175"/>
      <c r="L475" s="175"/>
      <c r="M475" s="175"/>
      <c r="N475" s="175"/>
      <c r="O475" s="175"/>
      <c r="P475" s="175"/>
    </row>
    <row r="476">
      <c r="A476" s="175"/>
      <c r="B476" s="175"/>
      <c r="C476" s="175"/>
      <c r="D476" s="175"/>
      <c r="E476" s="175"/>
      <c r="F476" s="175"/>
      <c r="G476" s="175"/>
      <c r="H476" s="175"/>
      <c r="I476" s="175"/>
      <c r="J476" s="175"/>
      <c r="K476" s="175"/>
      <c r="L476" s="175"/>
      <c r="M476" s="175"/>
      <c r="N476" s="175"/>
      <c r="O476" s="175"/>
      <c r="P476" s="175"/>
    </row>
    <row r="477">
      <c r="A477" s="175"/>
      <c r="B477" s="175"/>
      <c r="C477" s="175"/>
      <c r="D477" s="175"/>
      <c r="E477" s="175"/>
      <c r="F477" s="175"/>
      <c r="G477" s="175"/>
      <c r="H477" s="175"/>
      <c r="I477" s="175"/>
      <c r="J477" s="175"/>
      <c r="K477" s="175"/>
      <c r="L477" s="175"/>
      <c r="M477" s="175"/>
      <c r="N477" s="175"/>
      <c r="O477" s="175"/>
      <c r="P477" s="175"/>
    </row>
    <row r="478">
      <c r="A478" s="175"/>
      <c r="B478" s="175"/>
      <c r="C478" s="175"/>
      <c r="D478" s="175"/>
      <c r="E478" s="175"/>
      <c r="F478" s="175"/>
      <c r="G478" s="175"/>
      <c r="H478" s="175"/>
      <c r="I478" s="175"/>
      <c r="J478" s="175"/>
      <c r="K478" s="175"/>
      <c r="L478" s="175"/>
      <c r="M478" s="175"/>
      <c r="N478" s="175"/>
      <c r="O478" s="175"/>
      <c r="P478" s="175"/>
    </row>
    <row r="479">
      <c r="A479" s="175"/>
      <c r="B479" s="175"/>
      <c r="C479" s="175"/>
      <c r="D479" s="175"/>
      <c r="E479" s="175"/>
      <c r="F479" s="175"/>
      <c r="G479" s="175"/>
      <c r="H479" s="175"/>
      <c r="I479" s="175"/>
      <c r="J479" s="175"/>
      <c r="K479" s="175"/>
      <c r="L479" s="175"/>
      <c r="M479" s="175"/>
      <c r="N479" s="175"/>
      <c r="O479" s="175"/>
      <c r="P479" s="175"/>
    </row>
    <row r="480">
      <c r="A480" s="175"/>
      <c r="B480" s="175"/>
      <c r="C480" s="175"/>
      <c r="D480" s="175"/>
      <c r="E480" s="175"/>
      <c r="F480" s="175"/>
      <c r="G480" s="175"/>
      <c r="H480" s="175"/>
      <c r="I480" s="175"/>
      <c r="J480" s="175"/>
      <c r="K480" s="175"/>
      <c r="L480" s="175"/>
      <c r="M480" s="175"/>
      <c r="N480" s="175"/>
      <c r="O480" s="175"/>
      <c r="P480" s="175"/>
    </row>
    <row r="481">
      <c r="A481" s="175"/>
      <c r="B481" s="175"/>
      <c r="C481" s="175"/>
      <c r="D481" s="175"/>
      <c r="E481" s="175"/>
      <c r="F481" s="175"/>
      <c r="G481" s="175"/>
      <c r="H481" s="175"/>
      <c r="I481" s="175"/>
      <c r="J481" s="175"/>
      <c r="K481" s="175"/>
      <c r="L481" s="175"/>
      <c r="M481" s="175"/>
      <c r="N481" s="175"/>
      <c r="O481" s="175"/>
      <c r="P481" s="175"/>
    </row>
    <row r="482">
      <c r="A482" s="175"/>
      <c r="B482" s="175"/>
      <c r="C482" s="175"/>
      <c r="D482" s="175"/>
      <c r="E482" s="175"/>
      <c r="F482" s="175"/>
      <c r="G482" s="175"/>
      <c r="H482" s="175"/>
      <c r="I482" s="175"/>
      <c r="J482" s="175"/>
      <c r="K482" s="175"/>
      <c r="L482" s="175"/>
      <c r="M482" s="175"/>
      <c r="N482" s="175"/>
      <c r="O482" s="175"/>
      <c r="P482" s="175"/>
    </row>
    <row r="483">
      <c r="A483" s="175"/>
      <c r="B483" s="175"/>
      <c r="C483" s="175"/>
      <c r="D483" s="175"/>
      <c r="E483" s="175"/>
      <c r="F483" s="175"/>
      <c r="G483" s="175"/>
      <c r="H483" s="175"/>
      <c r="I483" s="175"/>
      <c r="J483" s="175"/>
      <c r="K483" s="175"/>
      <c r="L483" s="175"/>
      <c r="M483" s="175"/>
      <c r="N483" s="175"/>
      <c r="O483" s="175"/>
      <c r="P483" s="175"/>
    </row>
    <row r="484">
      <c r="A484" s="175"/>
      <c r="B484" s="175"/>
      <c r="C484" s="175"/>
      <c r="D484" s="175"/>
      <c r="E484" s="175"/>
      <c r="F484" s="175"/>
      <c r="G484" s="175"/>
      <c r="H484" s="175"/>
      <c r="I484" s="175"/>
      <c r="J484" s="175"/>
      <c r="K484" s="175"/>
      <c r="L484" s="175"/>
      <c r="M484" s="175"/>
      <c r="N484" s="175"/>
      <c r="O484" s="175"/>
      <c r="P484" s="175"/>
    </row>
    <row r="485">
      <c r="A485" s="175"/>
      <c r="B485" s="175"/>
      <c r="C485" s="175"/>
      <c r="D485" s="175"/>
      <c r="E485" s="175"/>
      <c r="F485" s="175"/>
      <c r="G485" s="175"/>
      <c r="H485" s="175"/>
      <c r="I485" s="175"/>
      <c r="J485" s="175"/>
      <c r="K485" s="175"/>
      <c r="L485" s="175"/>
      <c r="M485" s="175"/>
      <c r="N485" s="175"/>
      <c r="O485" s="175"/>
      <c r="P485" s="175"/>
    </row>
    <row r="486">
      <c r="A486" s="175"/>
      <c r="B486" s="175"/>
      <c r="C486" s="175"/>
      <c r="D486" s="175"/>
      <c r="E486" s="175"/>
      <c r="F486" s="175"/>
      <c r="G486" s="175"/>
      <c r="H486" s="175"/>
      <c r="I486" s="175"/>
      <c r="J486" s="175"/>
      <c r="K486" s="175"/>
      <c r="L486" s="175"/>
      <c r="M486" s="175"/>
      <c r="N486" s="175"/>
      <c r="O486" s="175"/>
      <c r="P486" s="175"/>
    </row>
    <row r="487">
      <c r="A487" s="175"/>
      <c r="B487" s="175"/>
      <c r="C487" s="175"/>
      <c r="D487" s="175"/>
      <c r="E487" s="175"/>
      <c r="F487" s="175"/>
      <c r="G487" s="175"/>
      <c r="H487" s="175"/>
      <c r="I487" s="175"/>
      <c r="J487" s="175"/>
      <c r="K487" s="175"/>
      <c r="L487" s="175"/>
      <c r="M487" s="175"/>
      <c r="N487" s="175"/>
      <c r="O487" s="175"/>
      <c r="P487" s="175"/>
    </row>
    <row r="488">
      <c r="A488" s="175"/>
      <c r="B488" s="175"/>
      <c r="C488" s="175"/>
      <c r="D488" s="175"/>
      <c r="E488" s="175"/>
      <c r="F488" s="175"/>
      <c r="G488" s="175"/>
      <c r="H488" s="175"/>
      <c r="I488" s="175"/>
      <c r="J488" s="175"/>
      <c r="K488" s="175"/>
      <c r="L488" s="175"/>
      <c r="M488" s="175"/>
      <c r="N488" s="175"/>
      <c r="O488" s="175"/>
      <c r="P488" s="175"/>
    </row>
    <row r="489">
      <c r="A489" s="175"/>
      <c r="B489" s="175"/>
      <c r="C489" s="175"/>
      <c r="D489" s="175"/>
      <c r="E489" s="175"/>
      <c r="F489" s="175"/>
      <c r="G489" s="175"/>
      <c r="H489" s="175"/>
      <c r="I489" s="175"/>
      <c r="J489" s="175"/>
      <c r="K489" s="175"/>
      <c r="L489" s="175"/>
      <c r="M489" s="175"/>
      <c r="N489" s="175"/>
      <c r="O489" s="175"/>
      <c r="P489" s="175"/>
    </row>
    <row r="490">
      <c r="A490" s="175"/>
      <c r="B490" s="175"/>
      <c r="C490" s="175"/>
      <c r="D490" s="175"/>
      <c r="E490" s="175"/>
      <c r="F490" s="175"/>
      <c r="G490" s="175"/>
      <c r="H490" s="175"/>
      <c r="I490" s="175"/>
      <c r="J490" s="175"/>
      <c r="K490" s="175"/>
      <c r="L490" s="175"/>
      <c r="M490" s="175"/>
      <c r="N490" s="175"/>
      <c r="O490" s="175"/>
      <c r="P490" s="175"/>
    </row>
    <row r="491">
      <c r="A491" s="175"/>
      <c r="B491" s="175"/>
      <c r="C491" s="175"/>
      <c r="D491" s="175"/>
      <c r="E491" s="175"/>
      <c r="F491" s="175"/>
      <c r="G491" s="175"/>
      <c r="H491" s="175"/>
      <c r="I491" s="175"/>
      <c r="J491" s="175"/>
      <c r="K491" s="175"/>
      <c r="L491" s="175"/>
      <c r="M491" s="175"/>
      <c r="N491" s="175"/>
      <c r="O491" s="175"/>
      <c r="P491" s="175"/>
    </row>
    <row r="492">
      <c r="A492" s="175"/>
      <c r="B492" s="175"/>
      <c r="C492" s="175"/>
      <c r="D492" s="175"/>
      <c r="E492" s="175"/>
      <c r="F492" s="175"/>
      <c r="G492" s="175"/>
      <c r="H492" s="175"/>
      <c r="I492" s="175"/>
      <c r="J492" s="175"/>
      <c r="K492" s="175"/>
      <c r="L492" s="175"/>
      <c r="M492" s="175"/>
      <c r="N492" s="175"/>
      <c r="O492" s="175"/>
      <c r="P492" s="175"/>
    </row>
    <row r="493">
      <c r="A493" s="175"/>
      <c r="B493" s="175"/>
      <c r="C493" s="175"/>
      <c r="D493" s="175"/>
      <c r="E493" s="175"/>
      <c r="F493" s="175"/>
      <c r="G493" s="175"/>
      <c r="H493" s="175"/>
      <c r="I493" s="175"/>
      <c r="J493" s="175"/>
      <c r="K493" s="175"/>
      <c r="L493" s="175"/>
      <c r="M493" s="175"/>
      <c r="N493" s="175"/>
      <c r="O493" s="175"/>
      <c r="P493" s="175"/>
    </row>
    <row r="494">
      <c r="A494" s="175"/>
      <c r="B494" s="175"/>
      <c r="C494" s="175"/>
      <c r="D494" s="175"/>
      <c r="E494" s="175"/>
      <c r="F494" s="175"/>
      <c r="G494" s="175"/>
      <c r="H494" s="175"/>
      <c r="I494" s="175"/>
      <c r="J494" s="175"/>
      <c r="K494" s="175"/>
      <c r="L494" s="175"/>
      <c r="M494" s="175"/>
      <c r="N494" s="175"/>
      <c r="O494" s="175"/>
      <c r="P494" s="175"/>
    </row>
    <row r="495">
      <c r="A495" s="175"/>
      <c r="B495" s="175"/>
      <c r="C495" s="175"/>
      <c r="D495" s="175"/>
      <c r="E495" s="175"/>
      <c r="F495" s="175"/>
      <c r="G495" s="175"/>
      <c r="H495" s="175"/>
      <c r="I495" s="175"/>
      <c r="J495" s="175"/>
      <c r="K495" s="175"/>
      <c r="L495" s="175"/>
      <c r="M495" s="175"/>
      <c r="N495" s="175"/>
      <c r="O495" s="175"/>
      <c r="P495" s="175"/>
    </row>
    <row r="496">
      <c r="A496" s="175"/>
      <c r="B496" s="175"/>
      <c r="C496" s="175"/>
      <c r="D496" s="175"/>
      <c r="E496" s="175"/>
      <c r="F496" s="175"/>
      <c r="G496" s="175"/>
      <c r="H496" s="175"/>
      <c r="I496" s="175"/>
      <c r="J496" s="175"/>
      <c r="K496" s="175"/>
      <c r="L496" s="175"/>
      <c r="M496" s="175"/>
      <c r="N496" s="175"/>
      <c r="O496" s="175"/>
      <c r="P496" s="175"/>
    </row>
    <row r="497">
      <c r="A497" s="175"/>
      <c r="B497" s="175"/>
      <c r="C497" s="175"/>
      <c r="D497" s="175"/>
      <c r="E497" s="175"/>
      <c r="F497" s="175"/>
      <c r="G497" s="175"/>
      <c r="H497" s="175"/>
      <c r="I497" s="175"/>
      <c r="J497" s="175"/>
      <c r="K497" s="175"/>
      <c r="L497" s="175"/>
      <c r="M497" s="175"/>
      <c r="N497" s="175"/>
      <c r="O497" s="175"/>
      <c r="P497" s="175"/>
    </row>
    <row r="498">
      <c r="A498" s="175"/>
      <c r="B498" s="175"/>
      <c r="C498" s="175"/>
      <c r="D498" s="175"/>
      <c r="E498" s="175"/>
      <c r="F498" s="175"/>
      <c r="G498" s="175"/>
      <c r="H498" s="175"/>
      <c r="I498" s="175"/>
      <c r="J498" s="175"/>
      <c r="K498" s="175"/>
      <c r="L498" s="175"/>
      <c r="M498" s="175"/>
      <c r="N498" s="175"/>
      <c r="O498" s="175"/>
      <c r="P498" s="175"/>
    </row>
    <row r="499">
      <c r="A499" s="175"/>
      <c r="B499" s="175"/>
      <c r="C499" s="175"/>
      <c r="D499" s="175"/>
      <c r="E499" s="175"/>
      <c r="F499" s="175"/>
      <c r="G499" s="175"/>
      <c r="H499" s="175"/>
      <c r="I499" s="175"/>
      <c r="J499" s="175"/>
      <c r="K499" s="175"/>
      <c r="L499" s="175"/>
      <c r="M499" s="175"/>
      <c r="N499" s="175"/>
      <c r="O499" s="175"/>
      <c r="P499" s="175"/>
    </row>
    <row r="500">
      <c r="A500" s="175"/>
      <c r="B500" s="175"/>
      <c r="C500" s="175"/>
      <c r="D500" s="175"/>
      <c r="E500" s="175"/>
      <c r="F500" s="175"/>
      <c r="G500" s="175"/>
      <c r="H500" s="175"/>
      <c r="I500" s="175"/>
      <c r="J500" s="175"/>
      <c r="K500" s="175"/>
      <c r="L500" s="175"/>
      <c r="M500" s="175"/>
      <c r="N500" s="175"/>
      <c r="O500" s="175"/>
      <c r="P500" s="175"/>
    </row>
    <row r="501">
      <c r="A501" s="175"/>
      <c r="B501" s="175"/>
      <c r="C501" s="175"/>
      <c r="D501" s="175"/>
      <c r="E501" s="175"/>
      <c r="F501" s="175"/>
      <c r="G501" s="175"/>
      <c r="H501" s="175"/>
      <c r="I501" s="175"/>
      <c r="J501" s="175"/>
      <c r="K501" s="175"/>
      <c r="L501" s="175"/>
      <c r="M501" s="175"/>
      <c r="N501" s="175"/>
      <c r="O501" s="175"/>
      <c r="P501" s="175"/>
    </row>
    <row r="502">
      <c r="A502" s="175"/>
      <c r="B502" s="175"/>
      <c r="C502" s="175"/>
      <c r="D502" s="175"/>
      <c r="E502" s="175"/>
      <c r="F502" s="175"/>
      <c r="G502" s="175"/>
      <c r="H502" s="175"/>
      <c r="I502" s="175"/>
      <c r="J502" s="175"/>
      <c r="K502" s="175"/>
      <c r="L502" s="175"/>
      <c r="M502" s="175"/>
      <c r="N502" s="175"/>
      <c r="O502" s="175"/>
      <c r="P502" s="175"/>
    </row>
    <row r="503">
      <c r="A503" s="175"/>
      <c r="B503" s="175"/>
      <c r="C503" s="175"/>
      <c r="D503" s="175"/>
      <c r="E503" s="175"/>
      <c r="F503" s="175"/>
      <c r="G503" s="175"/>
      <c r="H503" s="175"/>
      <c r="I503" s="175"/>
      <c r="J503" s="175"/>
      <c r="K503" s="175"/>
      <c r="L503" s="175"/>
      <c r="M503" s="175"/>
      <c r="N503" s="175"/>
      <c r="O503" s="175"/>
      <c r="P503" s="175"/>
    </row>
    <row r="504">
      <c r="A504" s="175"/>
      <c r="B504" s="175"/>
      <c r="C504" s="175"/>
      <c r="D504" s="175"/>
      <c r="E504" s="175"/>
      <c r="F504" s="175"/>
      <c r="G504" s="175"/>
      <c r="H504" s="175"/>
      <c r="I504" s="175"/>
      <c r="J504" s="175"/>
      <c r="K504" s="175"/>
      <c r="L504" s="175"/>
      <c r="M504" s="175"/>
      <c r="N504" s="175"/>
      <c r="O504" s="175"/>
      <c r="P504" s="175"/>
    </row>
    <row r="505">
      <c r="A505" s="175"/>
      <c r="B505" s="175"/>
      <c r="C505" s="175"/>
      <c r="D505" s="175"/>
      <c r="E505" s="175"/>
      <c r="F505" s="175"/>
      <c r="G505" s="175"/>
      <c r="H505" s="175"/>
      <c r="I505" s="175"/>
      <c r="J505" s="175"/>
      <c r="K505" s="175"/>
      <c r="L505" s="175"/>
      <c r="M505" s="175"/>
      <c r="N505" s="175"/>
      <c r="O505" s="175"/>
      <c r="P505" s="175"/>
    </row>
    <row r="506">
      <c r="A506" s="175"/>
      <c r="B506" s="175"/>
      <c r="C506" s="175"/>
      <c r="D506" s="175"/>
      <c r="E506" s="175"/>
      <c r="F506" s="175"/>
      <c r="G506" s="175"/>
      <c r="H506" s="175"/>
      <c r="I506" s="175"/>
      <c r="J506" s="175"/>
      <c r="K506" s="175"/>
      <c r="L506" s="175"/>
      <c r="M506" s="175"/>
      <c r="N506" s="175"/>
      <c r="O506" s="175"/>
      <c r="P506" s="175"/>
    </row>
    <row r="507">
      <c r="A507" s="175"/>
      <c r="B507" s="175"/>
      <c r="C507" s="175"/>
      <c r="D507" s="175"/>
      <c r="E507" s="175"/>
      <c r="F507" s="175"/>
      <c r="G507" s="175"/>
      <c r="H507" s="175"/>
      <c r="I507" s="175"/>
      <c r="J507" s="175"/>
      <c r="K507" s="175"/>
      <c r="L507" s="175"/>
      <c r="M507" s="175"/>
      <c r="N507" s="175"/>
      <c r="O507" s="175"/>
      <c r="P507" s="175"/>
    </row>
    <row r="508">
      <c r="A508" s="175"/>
      <c r="B508" s="175"/>
      <c r="C508" s="175"/>
      <c r="D508" s="175"/>
      <c r="E508" s="175"/>
      <c r="F508" s="175"/>
      <c r="G508" s="175"/>
      <c r="H508" s="175"/>
      <c r="I508" s="175"/>
      <c r="J508" s="175"/>
      <c r="K508" s="175"/>
      <c r="L508" s="175"/>
      <c r="M508" s="175"/>
      <c r="N508" s="175"/>
      <c r="O508" s="175"/>
      <c r="P508" s="175"/>
    </row>
    <row r="509">
      <c r="A509" s="175"/>
      <c r="B509" s="175"/>
      <c r="C509" s="175"/>
      <c r="D509" s="175"/>
      <c r="E509" s="175"/>
      <c r="F509" s="175"/>
      <c r="G509" s="175"/>
      <c r="H509" s="175"/>
      <c r="I509" s="175"/>
      <c r="J509" s="175"/>
      <c r="K509" s="175"/>
      <c r="L509" s="175"/>
      <c r="M509" s="175"/>
      <c r="N509" s="175"/>
      <c r="O509" s="175"/>
      <c r="P509" s="175"/>
    </row>
    <row r="510">
      <c r="A510" s="175"/>
      <c r="B510" s="175"/>
      <c r="C510" s="175"/>
      <c r="D510" s="175"/>
      <c r="E510" s="175"/>
      <c r="F510" s="175"/>
      <c r="G510" s="175"/>
      <c r="H510" s="175"/>
      <c r="I510" s="175"/>
      <c r="J510" s="175"/>
      <c r="K510" s="175"/>
      <c r="L510" s="175"/>
      <c r="M510" s="175"/>
      <c r="N510" s="175"/>
      <c r="O510" s="175"/>
      <c r="P510" s="175"/>
    </row>
    <row r="511">
      <c r="A511" s="175"/>
      <c r="B511" s="175"/>
      <c r="C511" s="175"/>
      <c r="D511" s="175"/>
      <c r="E511" s="175"/>
      <c r="F511" s="175"/>
      <c r="G511" s="175"/>
      <c r="H511" s="175"/>
      <c r="I511" s="175"/>
      <c r="J511" s="175"/>
      <c r="K511" s="175"/>
      <c r="L511" s="175"/>
      <c r="M511" s="175"/>
      <c r="N511" s="175"/>
      <c r="O511" s="175"/>
      <c r="P511" s="175"/>
    </row>
    <row r="512">
      <c r="A512" s="175"/>
      <c r="B512" s="175"/>
      <c r="C512" s="175"/>
      <c r="D512" s="175"/>
      <c r="E512" s="175"/>
      <c r="F512" s="175"/>
      <c r="G512" s="175"/>
      <c r="H512" s="175"/>
      <c r="I512" s="175"/>
      <c r="J512" s="175"/>
      <c r="K512" s="175"/>
      <c r="L512" s="175"/>
      <c r="M512" s="175"/>
      <c r="N512" s="175"/>
      <c r="O512" s="175"/>
      <c r="P512" s="175"/>
    </row>
    <row r="513">
      <c r="A513" s="175"/>
      <c r="B513" s="175"/>
      <c r="C513" s="175"/>
      <c r="D513" s="175"/>
      <c r="E513" s="175"/>
      <c r="F513" s="175"/>
      <c r="G513" s="175"/>
      <c r="H513" s="175"/>
      <c r="I513" s="175"/>
      <c r="J513" s="175"/>
      <c r="K513" s="175"/>
      <c r="L513" s="175"/>
      <c r="M513" s="175"/>
      <c r="N513" s="175"/>
      <c r="O513" s="175"/>
      <c r="P513" s="175"/>
    </row>
    <row r="514">
      <c r="A514" s="175"/>
      <c r="B514" s="175"/>
      <c r="C514" s="175"/>
      <c r="D514" s="175"/>
      <c r="E514" s="175"/>
      <c r="F514" s="175"/>
      <c r="G514" s="175"/>
      <c r="H514" s="175"/>
      <c r="I514" s="175"/>
      <c r="J514" s="175"/>
      <c r="K514" s="175"/>
      <c r="L514" s="175"/>
      <c r="M514" s="175"/>
      <c r="N514" s="175"/>
      <c r="O514" s="175"/>
      <c r="P514" s="175"/>
    </row>
    <row r="515">
      <c r="A515" s="175"/>
      <c r="B515" s="175"/>
      <c r="C515" s="175"/>
      <c r="D515" s="175"/>
      <c r="E515" s="175"/>
      <c r="F515" s="175"/>
      <c r="G515" s="175"/>
      <c r="H515" s="175"/>
      <c r="I515" s="175"/>
      <c r="J515" s="175"/>
      <c r="K515" s="175"/>
      <c r="L515" s="175"/>
      <c r="M515" s="175"/>
      <c r="N515" s="175"/>
      <c r="O515" s="175"/>
      <c r="P515" s="175"/>
    </row>
    <row r="516">
      <c r="A516" s="175"/>
      <c r="B516" s="175"/>
      <c r="C516" s="175"/>
      <c r="D516" s="175"/>
      <c r="E516" s="175"/>
      <c r="F516" s="175"/>
      <c r="G516" s="175"/>
      <c r="H516" s="175"/>
      <c r="I516" s="175"/>
      <c r="J516" s="175"/>
      <c r="K516" s="175"/>
      <c r="L516" s="175"/>
      <c r="M516" s="175"/>
      <c r="N516" s="175"/>
      <c r="O516" s="175"/>
      <c r="P516" s="175"/>
    </row>
    <row r="517">
      <c r="A517" s="175"/>
      <c r="B517" s="175"/>
      <c r="C517" s="175"/>
      <c r="D517" s="175"/>
      <c r="E517" s="175"/>
      <c r="F517" s="175"/>
      <c r="G517" s="175"/>
      <c r="H517" s="175"/>
      <c r="I517" s="175"/>
      <c r="J517" s="175"/>
      <c r="K517" s="175"/>
      <c r="L517" s="175"/>
      <c r="M517" s="175"/>
      <c r="N517" s="175"/>
      <c r="O517" s="175"/>
      <c r="P517" s="175"/>
    </row>
    <row r="518">
      <c r="A518" s="175"/>
      <c r="B518" s="175"/>
      <c r="C518" s="175"/>
      <c r="D518" s="175"/>
      <c r="E518" s="175"/>
      <c r="F518" s="175"/>
      <c r="G518" s="175"/>
      <c r="H518" s="175"/>
      <c r="I518" s="175"/>
      <c r="J518" s="175"/>
      <c r="K518" s="175"/>
      <c r="L518" s="175"/>
      <c r="M518" s="175"/>
      <c r="N518" s="175"/>
      <c r="O518" s="175"/>
      <c r="P518" s="175"/>
    </row>
    <row r="519">
      <c r="A519" s="175"/>
      <c r="B519" s="175"/>
      <c r="C519" s="175"/>
      <c r="D519" s="175"/>
      <c r="E519" s="175"/>
      <c r="F519" s="175"/>
      <c r="G519" s="175"/>
      <c r="H519" s="175"/>
      <c r="I519" s="175"/>
      <c r="J519" s="175"/>
      <c r="K519" s="175"/>
      <c r="L519" s="175"/>
      <c r="M519" s="175"/>
      <c r="N519" s="175"/>
      <c r="O519" s="175"/>
      <c r="P519" s="175"/>
    </row>
    <row r="520">
      <c r="A520" s="175"/>
      <c r="B520" s="175"/>
      <c r="C520" s="175"/>
      <c r="D520" s="175"/>
      <c r="E520" s="175"/>
      <c r="F520" s="175"/>
      <c r="G520" s="175"/>
      <c r="H520" s="175"/>
      <c r="I520" s="175"/>
      <c r="J520" s="175"/>
      <c r="K520" s="175"/>
      <c r="L520" s="175"/>
      <c r="M520" s="175"/>
      <c r="N520" s="175"/>
      <c r="O520" s="175"/>
      <c r="P520" s="175"/>
    </row>
    <row r="521">
      <c r="A521" s="175"/>
      <c r="B521" s="175"/>
      <c r="C521" s="175"/>
      <c r="D521" s="175"/>
      <c r="E521" s="175"/>
      <c r="F521" s="175"/>
      <c r="G521" s="175"/>
      <c r="H521" s="175"/>
      <c r="I521" s="175"/>
      <c r="J521" s="175"/>
      <c r="K521" s="175"/>
      <c r="L521" s="175"/>
      <c r="M521" s="175"/>
      <c r="N521" s="175"/>
      <c r="O521" s="175"/>
      <c r="P521" s="175"/>
    </row>
    <row r="522">
      <c r="A522" s="175"/>
      <c r="B522" s="175"/>
      <c r="C522" s="175"/>
      <c r="D522" s="175"/>
      <c r="E522" s="175"/>
      <c r="F522" s="175"/>
      <c r="G522" s="175"/>
      <c r="H522" s="175"/>
      <c r="I522" s="175"/>
      <c r="J522" s="175"/>
      <c r="K522" s="175"/>
      <c r="L522" s="175"/>
      <c r="M522" s="175"/>
      <c r="N522" s="175"/>
      <c r="O522" s="175"/>
      <c r="P522" s="175"/>
    </row>
    <row r="523">
      <c r="A523" s="175"/>
      <c r="B523" s="175"/>
      <c r="C523" s="175"/>
      <c r="D523" s="175"/>
      <c r="E523" s="175"/>
      <c r="F523" s="175"/>
      <c r="G523" s="175"/>
      <c r="H523" s="175"/>
      <c r="I523" s="175"/>
      <c r="J523" s="175"/>
      <c r="K523" s="175"/>
      <c r="L523" s="175"/>
      <c r="M523" s="175"/>
      <c r="N523" s="175"/>
      <c r="O523" s="175"/>
      <c r="P523" s="175"/>
    </row>
    <row r="524">
      <c r="A524" s="175"/>
      <c r="B524" s="175"/>
      <c r="C524" s="175"/>
      <c r="D524" s="175"/>
      <c r="E524" s="175"/>
      <c r="F524" s="175"/>
      <c r="G524" s="175"/>
      <c r="H524" s="175"/>
      <c r="I524" s="175"/>
      <c r="J524" s="175"/>
      <c r="K524" s="175"/>
      <c r="L524" s="175"/>
      <c r="M524" s="175"/>
      <c r="N524" s="175"/>
      <c r="O524" s="175"/>
      <c r="P524" s="175"/>
    </row>
    <row r="525">
      <c r="A525" s="175"/>
      <c r="B525" s="175"/>
      <c r="C525" s="175"/>
      <c r="D525" s="175"/>
      <c r="E525" s="175"/>
      <c r="F525" s="175"/>
      <c r="G525" s="175"/>
      <c r="H525" s="175"/>
      <c r="I525" s="175"/>
      <c r="J525" s="175"/>
      <c r="K525" s="175"/>
      <c r="L525" s="175"/>
      <c r="M525" s="175"/>
      <c r="N525" s="175"/>
      <c r="O525" s="175"/>
      <c r="P525" s="175"/>
    </row>
    <row r="526">
      <c r="A526" s="175"/>
      <c r="B526" s="175"/>
      <c r="C526" s="175"/>
      <c r="D526" s="175"/>
      <c r="E526" s="175"/>
      <c r="F526" s="175"/>
      <c r="G526" s="175"/>
      <c r="H526" s="175"/>
      <c r="I526" s="175"/>
      <c r="J526" s="175"/>
      <c r="K526" s="175"/>
      <c r="L526" s="175"/>
      <c r="M526" s="175"/>
      <c r="N526" s="175"/>
      <c r="O526" s="175"/>
      <c r="P526" s="175"/>
    </row>
    <row r="527">
      <c r="A527" s="175"/>
      <c r="B527" s="175"/>
      <c r="C527" s="175"/>
      <c r="D527" s="175"/>
      <c r="E527" s="175"/>
      <c r="F527" s="175"/>
      <c r="G527" s="175"/>
      <c r="H527" s="175"/>
      <c r="I527" s="175"/>
      <c r="J527" s="175"/>
      <c r="K527" s="175"/>
      <c r="L527" s="175"/>
      <c r="M527" s="175"/>
      <c r="N527" s="175"/>
      <c r="O527" s="175"/>
      <c r="P527" s="175"/>
    </row>
    <row r="528">
      <c r="A528" s="175"/>
      <c r="B528" s="175"/>
      <c r="C528" s="175"/>
      <c r="D528" s="175"/>
      <c r="E528" s="175"/>
      <c r="F528" s="175"/>
      <c r="G528" s="175"/>
      <c r="H528" s="175"/>
      <c r="I528" s="175"/>
      <c r="J528" s="175"/>
      <c r="K528" s="175"/>
      <c r="L528" s="175"/>
      <c r="M528" s="175"/>
      <c r="N528" s="175"/>
      <c r="O528" s="175"/>
      <c r="P528" s="175"/>
    </row>
    <row r="529">
      <c r="A529" s="175"/>
      <c r="B529" s="175"/>
      <c r="C529" s="175"/>
      <c r="D529" s="175"/>
      <c r="E529" s="175"/>
      <c r="F529" s="175"/>
      <c r="G529" s="175"/>
      <c r="H529" s="175"/>
      <c r="I529" s="175"/>
      <c r="J529" s="175"/>
      <c r="K529" s="175"/>
      <c r="L529" s="175"/>
      <c r="M529" s="175"/>
      <c r="N529" s="175"/>
      <c r="O529" s="175"/>
      <c r="P529" s="175"/>
    </row>
    <row r="530">
      <c r="A530" s="175"/>
      <c r="B530" s="175"/>
      <c r="C530" s="175"/>
      <c r="D530" s="175"/>
      <c r="E530" s="175"/>
      <c r="F530" s="175"/>
      <c r="G530" s="175"/>
      <c r="H530" s="175"/>
      <c r="I530" s="175"/>
      <c r="J530" s="175"/>
      <c r="K530" s="175"/>
      <c r="L530" s="175"/>
      <c r="M530" s="175"/>
      <c r="N530" s="175"/>
      <c r="O530" s="175"/>
      <c r="P530" s="175"/>
    </row>
    <row r="531">
      <c r="A531" s="175"/>
      <c r="B531" s="175"/>
      <c r="C531" s="175"/>
      <c r="D531" s="175"/>
      <c r="E531" s="175"/>
      <c r="F531" s="175"/>
      <c r="G531" s="175"/>
      <c r="H531" s="175"/>
      <c r="I531" s="175"/>
      <c r="J531" s="175"/>
      <c r="K531" s="175"/>
      <c r="L531" s="175"/>
      <c r="M531" s="175"/>
      <c r="N531" s="175"/>
      <c r="O531" s="175"/>
      <c r="P531" s="175"/>
    </row>
    <row r="532">
      <c r="A532" s="175"/>
      <c r="B532" s="175"/>
      <c r="C532" s="175"/>
      <c r="D532" s="175"/>
      <c r="E532" s="175"/>
      <c r="F532" s="175"/>
      <c r="G532" s="175"/>
      <c r="H532" s="175"/>
      <c r="I532" s="175"/>
      <c r="J532" s="175"/>
      <c r="K532" s="175"/>
      <c r="L532" s="175"/>
      <c r="M532" s="175"/>
      <c r="N532" s="175"/>
      <c r="O532" s="175"/>
      <c r="P532" s="175"/>
    </row>
    <row r="533">
      <c r="A533" s="175"/>
      <c r="B533" s="175"/>
      <c r="C533" s="175"/>
      <c r="D533" s="175"/>
      <c r="E533" s="175"/>
      <c r="F533" s="175"/>
      <c r="G533" s="175"/>
      <c r="H533" s="175"/>
      <c r="I533" s="175"/>
      <c r="J533" s="175"/>
      <c r="K533" s="175"/>
      <c r="L533" s="175"/>
      <c r="M533" s="175"/>
      <c r="N533" s="175"/>
      <c r="O533" s="175"/>
      <c r="P533" s="175"/>
    </row>
    <row r="534">
      <c r="A534" s="175"/>
      <c r="B534" s="175"/>
      <c r="C534" s="175"/>
      <c r="D534" s="175"/>
      <c r="E534" s="175"/>
      <c r="F534" s="175"/>
      <c r="G534" s="175"/>
      <c r="H534" s="175"/>
      <c r="I534" s="175"/>
      <c r="J534" s="175"/>
      <c r="K534" s="175"/>
      <c r="L534" s="175"/>
      <c r="M534" s="175"/>
      <c r="N534" s="175"/>
      <c r="O534" s="175"/>
      <c r="P534" s="175"/>
    </row>
    <row r="535">
      <c r="A535" s="175"/>
      <c r="B535" s="175"/>
      <c r="C535" s="175"/>
      <c r="D535" s="175"/>
      <c r="E535" s="175"/>
      <c r="F535" s="175"/>
      <c r="G535" s="175"/>
      <c r="H535" s="175"/>
      <c r="I535" s="175"/>
      <c r="J535" s="175"/>
      <c r="K535" s="175"/>
      <c r="L535" s="175"/>
      <c r="M535" s="175"/>
      <c r="N535" s="175"/>
      <c r="O535" s="175"/>
      <c r="P535" s="175"/>
    </row>
    <row r="536">
      <c r="A536" s="175"/>
      <c r="B536" s="175"/>
      <c r="C536" s="175"/>
      <c r="D536" s="175"/>
      <c r="E536" s="175"/>
      <c r="F536" s="175"/>
      <c r="G536" s="175"/>
      <c r="H536" s="175"/>
      <c r="I536" s="175"/>
      <c r="J536" s="175"/>
      <c r="K536" s="175"/>
      <c r="L536" s="175"/>
      <c r="M536" s="175"/>
      <c r="N536" s="175"/>
      <c r="O536" s="175"/>
      <c r="P536" s="175"/>
    </row>
    <row r="537">
      <c r="A537" s="175"/>
      <c r="B537" s="175"/>
      <c r="C537" s="175"/>
      <c r="D537" s="175"/>
      <c r="E537" s="175"/>
      <c r="F537" s="175"/>
      <c r="G537" s="175"/>
      <c r="H537" s="175"/>
      <c r="I537" s="175"/>
      <c r="J537" s="175"/>
      <c r="K537" s="175"/>
      <c r="L537" s="175"/>
      <c r="M537" s="175"/>
      <c r="N537" s="175"/>
      <c r="O537" s="175"/>
      <c r="P537" s="175"/>
    </row>
    <row r="538">
      <c r="A538" s="175"/>
      <c r="B538" s="175"/>
      <c r="C538" s="175"/>
      <c r="D538" s="175"/>
      <c r="E538" s="175"/>
      <c r="F538" s="175"/>
      <c r="G538" s="175"/>
      <c r="H538" s="175"/>
      <c r="I538" s="175"/>
      <c r="J538" s="175"/>
      <c r="K538" s="175"/>
      <c r="L538" s="175"/>
      <c r="M538" s="175"/>
      <c r="N538" s="175"/>
      <c r="O538" s="175"/>
      <c r="P538" s="175"/>
    </row>
    <row r="539">
      <c r="A539" s="175"/>
      <c r="B539" s="175"/>
      <c r="C539" s="175"/>
      <c r="D539" s="175"/>
      <c r="E539" s="175"/>
      <c r="F539" s="175"/>
      <c r="G539" s="175"/>
      <c r="H539" s="175"/>
      <c r="I539" s="175"/>
      <c r="J539" s="175"/>
      <c r="K539" s="175"/>
      <c r="L539" s="175"/>
      <c r="M539" s="175"/>
      <c r="N539" s="175"/>
      <c r="O539" s="175"/>
      <c r="P539" s="175"/>
    </row>
    <row r="540">
      <c r="A540" s="175"/>
      <c r="B540" s="175"/>
      <c r="C540" s="175"/>
      <c r="D540" s="175"/>
      <c r="E540" s="175"/>
      <c r="F540" s="175"/>
      <c r="G540" s="175"/>
      <c r="H540" s="175"/>
      <c r="I540" s="175"/>
      <c r="J540" s="175"/>
      <c r="K540" s="175"/>
      <c r="L540" s="175"/>
      <c r="M540" s="175"/>
      <c r="N540" s="175"/>
      <c r="O540" s="175"/>
      <c r="P540" s="175"/>
    </row>
    <row r="541">
      <c r="A541" s="175"/>
      <c r="B541" s="175"/>
      <c r="C541" s="175"/>
      <c r="D541" s="175"/>
      <c r="E541" s="175"/>
      <c r="F541" s="175"/>
      <c r="G541" s="175"/>
      <c r="H541" s="175"/>
      <c r="I541" s="175"/>
      <c r="J541" s="175"/>
      <c r="K541" s="175"/>
      <c r="L541" s="175"/>
      <c r="M541" s="175"/>
      <c r="N541" s="175"/>
      <c r="O541" s="175"/>
      <c r="P541" s="175"/>
    </row>
    <row r="542">
      <c r="A542" s="175"/>
      <c r="B542" s="175"/>
      <c r="C542" s="175"/>
      <c r="D542" s="175"/>
      <c r="E542" s="175"/>
      <c r="F542" s="175"/>
      <c r="G542" s="175"/>
      <c r="H542" s="175"/>
      <c r="I542" s="175"/>
      <c r="J542" s="175"/>
      <c r="K542" s="175"/>
      <c r="L542" s="175"/>
      <c r="M542" s="175"/>
      <c r="N542" s="175"/>
      <c r="O542" s="175"/>
      <c r="P542" s="175"/>
    </row>
    <row r="543">
      <c r="A543" s="175"/>
      <c r="B543" s="175"/>
      <c r="C543" s="175"/>
      <c r="D543" s="175"/>
      <c r="E543" s="175"/>
      <c r="F543" s="175"/>
      <c r="G543" s="175"/>
      <c r="H543" s="175"/>
      <c r="I543" s="175"/>
      <c r="J543" s="175"/>
      <c r="K543" s="175"/>
      <c r="L543" s="175"/>
      <c r="M543" s="175"/>
      <c r="N543" s="175"/>
      <c r="O543" s="175"/>
      <c r="P543" s="175"/>
    </row>
    <row r="544">
      <c r="A544" s="175"/>
      <c r="B544" s="175"/>
      <c r="C544" s="175"/>
      <c r="D544" s="175"/>
      <c r="E544" s="175"/>
      <c r="F544" s="175"/>
      <c r="G544" s="175"/>
      <c r="H544" s="175"/>
      <c r="I544" s="175"/>
      <c r="J544" s="175"/>
      <c r="K544" s="175"/>
      <c r="L544" s="175"/>
      <c r="M544" s="175"/>
      <c r="N544" s="175"/>
      <c r="O544" s="175"/>
      <c r="P544" s="175"/>
    </row>
    <row r="545">
      <c r="A545" s="175"/>
      <c r="B545" s="175"/>
      <c r="C545" s="175"/>
      <c r="D545" s="175"/>
      <c r="E545" s="175"/>
      <c r="F545" s="175"/>
      <c r="G545" s="175"/>
      <c r="H545" s="175"/>
      <c r="I545" s="175"/>
      <c r="J545" s="175"/>
      <c r="K545" s="175"/>
      <c r="L545" s="175"/>
      <c r="M545" s="175"/>
      <c r="N545" s="175"/>
      <c r="O545" s="175"/>
      <c r="P545" s="175"/>
    </row>
    <row r="546">
      <c r="A546" s="175"/>
      <c r="B546" s="175"/>
      <c r="C546" s="175"/>
      <c r="D546" s="175"/>
      <c r="E546" s="175"/>
      <c r="F546" s="175"/>
      <c r="G546" s="175"/>
      <c r="H546" s="175"/>
      <c r="I546" s="175"/>
      <c r="J546" s="175"/>
      <c r="K546" s="175"/>
      <c r="L546" s="175"/>
      <c r="M546" s="175"/>
      <c r="N546" s="175"/>
      <c r="O546" s="175"/>
      <c r="P546" s="175"/>
    </row>
    <row r="547">
      <c r="A547" s="175"/>
      <c r="B547" s="175"/>
      <c r="C547" s="175"/>
      <c r="D547" s="175"/>
      <c r="E547" s="175"/>
      <c r="F547" s="175"/>
      <c r="G547" s="175"/>
      <c r="H547" s="175"/>
      <c r="I547" s="175"/>
      <c r="J547" s="175"/>
      <c r="K547" s="175"/>
      <c r="L547" s="175"/>
      <c r="M547" s="175"/>
      <c r="N547" s="175"/>
      <c r="O547" s="175"/>
      <c r="P547" s="175"/>
    </row>
    <row r="548">
      <c r="A548" s="175"/>
      <c r="B548" s="175"/>
      <c r="C548" s="175"/>
      <c r="D548" s="175"/>
      <c r="E548" s="175"/>
      <c r="F548" s="175"/>
      <c r="G548" s="175"/>
      <c r="H548" s="175"/>
      <c r="I548" s="175"/>
      <c r="J548" s="175"/>
      <c r="K548" s="175"/>
      <c r="L548" s="175"/>
      <c r="M548" s="175"/>
      <c r="N548" s="175"/>
      <c r="O548" s="175"/>
      <c r="P548" s="175"/>
    </row>
    <row r="549">
      <c r="A549" s="175"/>
      <c r="B549" s="175"/>
      <c r="C549" s="175"/>
      <c r="D549" s="175"/>
      <c r="E549" s="175"/>
      <c r="F549" s="175"/>
      <c r="G549" s="175"/>
      <c r="H549" s="175"/>
      <c r="I549" s="175"/>
      <c r="J549" s="175"/>
      <c r="K549" s="175"/>
      <c r="L549" s="175"/>
      <c r="M549" s="175"/>
      <c r="N549" s="175"/>
      <c r="O549" s="175"/>
      <c r="P549" s="175"/>
    </row>
    <row r="550">
      <c r="A550" s="175"/>
      <c r="B550" s="175"/>
      <c r="C550" s="175"/>
      <c r="D550" s="175"/>
      <c r="E550" s="175"/>
      <c r="F550" s="175"/>
      <c r="G550" s="175"/>
      <c r="H550" s="175"/>
      <c r="I550" s="175"/>
      <c r="J550" s="175"/>
      <c r="K550" s="175"/>
      <c r="L550" s="175"/>
      <c r="M550" s="175"/>
      <c r="N550" s="175"/>
      <c r="O550" s="175"/>
      <c r="P550" s="175"/>
    </row>
    <row r="551">
      <c r="A551" s="175"/>
      <c r="B551" s="175"/>
      <c r="C551" s="175"/>
      <c r="D551" s="175"/>
      <c r="E551" s="175"/>
      <c r="F551" s="175"/>
      <c r="G551" s="175"/>
      <c r="H551" s="175"/>
      <c r="I551" s="175"/>
      <c r="J551" s="175"/>
      <c r="K551" s="175"/>
      <c r="L551" s="175"/>
      <c r="M551" s="175"/>
      <c r="N551" s="175"/>
      <c r="O551" s="175"/>
      <c r="P551" s="175"/>
    </row>
    <row r="552">
      <c r="A552" s="175"/>
      <c r="B552" s="175"/>
      <c r="C552" s="175"/>
      <c r="D552" s="175"/>
      <c r="E552" s="175"/>
      <c r="F552" s="175"/>
      <c r="G552" s="175"/>
      <c r="H552" s="175"/>
      <c r="I552" s="175"/>
      <c r="J552" s="175"/>
      <c r="K552" s="175"/>
      <c r="L552" s="175"/>
      <c r="M552" s="175"/>
      <c r="N552" s="175"/>
      <c r="O552" s="175"/>
      <c r="P552" s="175"/>
    </row>
    <row r="553">
      <c r="A553" s="175"/>
      <c r="B553" s="175"/>
      <c r="C553" s="175"/>
      <c r="D553" s="175"/>
      <c r="E553" s="175"/>
      <c r="F553" s="175"/>
      <c r="G553" s="175"/>
      <c r="H553" s="175"/>
      <c r="I553" s="175"/>
      <c r="J553" s="175"/>
      <c r="K553" s="175"/>
      <c r="L553" s="175"/>
      <c r="M553" s="175"/>
      <c r="N553" s="175"/>
      <c r="O553" s="175"/>
      <c r="P553" s="175"/>
    </row>
    <row r="554">
      <c r="A554" s="175"/>
      <c r="B554" s="175"/>
      <c r="C554" s="175"/>
      <c r="D554" s="175"/>
      <c r="E554" s="175"/>
      <c r="F554" s="175"/>
      <c r="G554" s="175"/>
      <c r="H554" s="175"/>
      <c r="I554" s="175"/>
      <c r="J554" s="175"/>
      <c r="K554" s="175"/>
      <c r="L554" s="175"/>
      <c r="M554" s="175"/>
      <c r="N554" s="175"/>
      <c r="O554" s="175"/>
      <c r="P554" s="175"/>
    </row>
    <row r="555">
      <c r="A555" s="175"/>
      <c r="B555" s="175"/>
      <c r="C555" s="175"/>
      <c r="D555" s="175"/>
      <c r="E555" s="175"/>
      <c r="F555" s="175"/>
      <c r="G555" s="175"/>
      <c r="H555" s="175"/>
      <c r="I555" s="175"/>
      <c r="J555" s="175"/>
      <c r="K555" s="175"/>
      <c r="L555" s="175"/>
      <c r="M555" s="175"/>
      <c r="N555" s="175"/>
      <c r="O555" s="175"/>
      <c r="P555" s="175"/>
    </row>
    <row r="556">
      <c r="A556" s="175"/>
      <c r="B556" s="175"/>
      <c r="C556" s="175"/>
      <c r="D556" s="175"/>
      <c r="E556" s="175"/>
      <c r="F556" s="175"/>
      <c r="G556" s="175"/>
      <c r="H556" s="175"/>
      <c r="I556" s="175"/>
      <c r="J556" s="175"/>
      <c r="K556" s="175"/>
      <c r="L556" s="175"/>
      <c r="M556" s="175"/>
      <c r="N556" s="175"/>
      <c r="O556" s="175"/>
      <c r="P556" s="175"/>
    </row>
    <row r="557">
      <c r="A557" s="175"/>
      <c r="B557" s="175"/>
      <c r="C557" s="175"/>
      <c r="D557" s="175"/>
      <c r="E557" s="175"/>
      <c r="F557" s="175"/>
      <c r="G557" s="175"/>
      <c r="H557" s="175"/>
      <c r="I557" s="175"/>
      <c r="J557" s="175"/>
      <c r="K557" s="175"/>
      <c r="L557" s="175"/>
      <c r="M557" s="175"/>
      <c r="N557" s="175"/>
      <c r="O557" s="175"/>
      <c r="P557" s="175"/>
    </row>
    <row r="558">
      <c r="A558" s="175"/>
      <c r="B558" s="175"/>
      <c r="C558" s="175"/>
      <c r="D558" s="175"/>
      <c r="E558" s="175"/>
      <c r="F558" s="175"/>
      <c r="G558" s="175"/>
      <c r="H558" s="175"/>
      <c r="I558" s="175"/>
      <c r="J558" s="175"/>
      <c r="K558" s="175"/>
      <c r="L558" s="175"/>
      <c r="M558" s="175"/>
      <c r="N558" s="175"/>
      <c r="O558" s="175"/>
      <c r="P558" s="175"/>
    </row>
    <row r="559">
      <c r="A559" s="175"/>
      <c r="B559" s="175"/>
      <c r="C559" s="175"/>
      <c r="D559" s="175"/>
      <c r="E559" s="175"/>
      <c r="F559" s="175"/>
      <c r="G559" s="175"/>
      <c r="H559" s="175"/>
      <c r="I559" s="175"/>
      <c r="J559" s="175"/>
      <c r="K559" s="175"/>
      <c r="L559" s="175"/>
      <c r="M559" s="175"/>
      <c r="N559" s="175"/>
      <c r="O559" s="175"/>
      <c r="P559" s="175"/>
    </row>
    <row r="560">
      <c r="A560" s="175"/>
      <c r="B560" s="175"/>
      <c r="C560" s="175"/>
      <c r="D560" s="175"/>
      <c r="E560" s="175"/>
      <c r="F560" s="175"/>
      <c r="G560" s="175"/>
      <c r="H560" s="175"/>
      <c r="I560" s="175"/>
      <c r="J560" s="175"/>
      <c r="K560" s="175"/>
      <c r="L560" s="175"/>
      <c r="M560" s="175"/>
      <c r="N560" s="175"/>
      <c r="O560" s="175"/>
      <c r="P560" s="175"/>
    </row>
    <row r="561">
      <c r="A561" s="175"/>
      <c r="B561" s="175"/>
      <c r="C561" s="175"/>
      <c r="D561" s="175"/>
      <c r="E561" s="175"/>
      <c r="F561" s="175"/>
      <c r="G561" s="175"/>
      <c r="H561" s="175"/>
      <c r="I561" s="175"/>
      <c r="J561" s="175"/>
      <c r="K561" s="175"/>
      <c r="L561" s="175"/>
      <c r="M561" s="175"/>
      <c r="N561" s="175"/>
      <c r="O561" s="175"/>
      <c r="P561" s="175"/>
    </row>
    <row r="562">
      <c r="A562" s="175"/>
      <c r="B562" s="175"/>
      <c r="C562" s="175"/>
      <c r="D562" s="175"/>
      <c r="E562" s="175"/>
      <c r="F562" s="175"/>
      <c r="G562" s="175"/>
      <c r="H562" s="175"/>
      <c r="I562" s="175"/>
      <c r="J562" s="175"/>
      <c r="K562" s="175"/>
      <c r="L562" s="175"/>
      <c r="M562" s="175"/>
      <c r="N562" s="175"/>
      <c r="O562" s="175"/>
      <c r="P562" s="175"/>
    </row>
    <row r="563">
      <c r="A563" s="175"/>
      <c r="B563" s="175"/>
      <c r="C563" s="175"/>
      <c r="D563" s="175"/>
      <c r="E563" s="175"/>
      <c r="F563" s="175"/>
      <c r="G563" s="175"/>
      <c r="H563" s="175"/>
      <c r="I563" s="175"/>
      <c r="J563" s="175"/>
      <c r="K563" s="175"/>
      <c r="L563" s="175"/>
      <c r="M563" s="175"/>
      <c r="N563" s="175"/>
      <c r="O563" s="175"/>
      <c r="P563" s="175"/>
    </row>
    <row r="564">
      <c r="A564" s="175"/>
      <c r="B564" s="175"/>
      <c r="C564" s="175"/>
      <c r="D564" s="175"/>
      <c r="E564" s="175"/>
      <c r="F564" s="175"/>
      <c r="G564" s="175"/>
      <c r="H564" s="175"/>
      <c r="I564" s="175"/>
      <c r="J564" s="175"/>
      <c r="K564" s="175"/>
      <c r="L564" s="175"/>
      <c r="M564" s="175"/>
      <c r="N564" s="175"/>
      <c r="O564" s="175"/>
      <c r="P564" s="175"/>
    </row>
    <row r="565">
      <c r="A565" s="175"/>
      <c r="B565" s="175"/>
      <c r="C565" s="175"/>
      <c r="D565" s="175"/>
      <c r="E565" s="175"/>
      <c r="F565" s="175"/>
      <c r="G565" s="175"/>
      <c r="H565" s="175"/>
      <c r="I565" s="175"/>
      <c r="J565" s="175"/>
      <c r="K565" s="175"/>
      <c r="L565" s="175"/>
      <c r="M565" s="175"/>
      <c r="N565" s="175"/>
      <c r="O565" s="175"/>
      <c r="P565" s="175"/>
    </row>
    <row r="566">
      <c r="A566" s="175"/>
      <c r="B566" s="175"/>
      <c r="C566" s="175"/>
      <c r="D566" s="175"/>
      <c r="E566" s="175"/>
      <c r="F566" s="175"/>
      <c r="G566" s="175"/>
      <c r="H566" s="175"/>
      <c r="I566" s="175"/>
      <c r="J566" s="175"/>
      <c r="K566" s="175"/>
      <c r="L566" s="175"/>
      <c r="M566" s="175"/>
      <c r="N566" s="175"/>
      <c r="O566" s="175"/>
      <c r="P566" s="175"/>
    </row>
    <row r="567">
      <c r="A567" s="175"/>
      <c r="B567" s="175"/>
      <c r="C567" s="175"/>
      <c r="D567" s="175"/>
      <c r="E567" s="175"/>
      <c r="F567" s="175"/>
      <c r="G567" s="175"/>
      <c r="H567" s="175"/>
      <c r="I567" s="175"/>
      <c r="J567" s="175"/>
      <c r="K567" s="175"/>
      <c r="L567" s="175"/>
      <c r="M567" s="175"/>
      <c r="N567" s="175"/>
      <c r="O567" s="175"/>
      <c r="P567" s="175"/>
    </row>
    <row r="568">
      <c r="A568" s="175"/>
      <c r="B568" s="175"/>
      <c r="C568" s="175"/>
      <c r="D568" s="175"/>
      <c r="E568" s="175"/>
      <c r="F568" s="175"/>
      <c r="G568" s="175"/>
      <c r="H568" s="175"/>
      <c r="I568" s="175"/>
      <c r="J568" s="175"/>
      <c r="K568" s="175"/>
      <c r="L568" s="175"/>
      <c r="M568" s="175"/>
      <c r="N568" s="175"/>
      <c r="O568" s="175"/>
      <c r="P568" s="175"/>
    </row>
    <row r="569">
      <c r="A569" s="175"/>
      <c r="B569" s="175"/>
      <c r="C569" s="175"/>
      <c r="D569" s="175"/>
      <c r="E569" s="175"/>
      <c r="F569" s="175"/>
      <c r="G569" s="175"/>
      <c r="H569" s="175"/>
      <c r="I569" s="175"/>
      <c r="J569" s="175"/>
      <c r="K569" s="175"/>
      <c r="L569" s="175"/>
      <c r="M569" s="175"/>
      <c r="N569" s="175"/>
      <c r="O569" s="175"/>
      <c r="P569" s="175"/>
    </row>
    <row r="570">
      <c r="A570" s="175"/>
      <c r="B570" s="175"/>
      <c r="C570" s="175"/>
      <c r="D570" s="175"/>
      <c r="E570" s="175"/>
      <c r="F570" s="175"/>
      <c r="G570" s="175"/>
      <c r="H570" s="175"/>
      <c r="I570" s="175"/>
      <c r="J570" s="175"/>
      <c r="K570" s="175"/>
      <c r="L570" s="175"/>
      <c r="M570" s="175"/>
      <c r="N570" s="175"/>
      <c r="O570" s="175"/>
      <c r="P570" s="175"/>
    </row>
    <row r="571">
      <c r="A571" s="175"/>
      <c r="B571" s="175"/>
      <c r="C571" s="175"/>
      <c r="D571" s="175"/>
      <c r="E571" s="175"/>
      <c r="F571" s="175"/>
      <c r="G571" s="175"/>
      <c r="H571" s="175"/>
      <c r="I571" s="175"/>
      <c r="J571" s="175"/>
      <c r="K571" s="175"/>
      <c r="L571" s="175"/>
      <c r="M571" s="175"/>
      <c r="N571" s="175"/>
      <c r="O571" s="175"/>
      <c r="P571" s="175"/>
    </row>
    <row r="572">
      <c r="A572" s="175"/>
      <c r="B572" s="175"/>
      <c r="C572" s="175"/>
      <c r="D572" s="175"/>
      <c r="E572" s="175"/>
      <c r="F572" s="175"/>
      <c r="G572" s="175"/>
      <c r="H572" s="175"/>
      <c r="I572" s="175"/>
      <c r="J572" s="175"/>
      <c r="K572" s="175"/>
      <c r="L572" s="175"/>
      <c r="M572" s="175"/>
      <c r="N572" s="175"/>
      <c r="O572" s="175"/>
      <c r="P572" s="175"/>
    </row>
    <row r="573">
      <c r="A573" s="175"/>
      <c r="B573" s="175"/>
      <c r="C573" s="175"/>
      <c r="D573" s="175"/>
      <c r="E573" s="175"/>
      <c r="F573" s="175"/>
      <c r="G573" s="175"/>
      <c r="H573" s="175"/>
      <c r="I573" s="175"/>
      <c r="J573" s="175"/>
      <c r="K573" s="175"/>
      <c r="L573" s="175"/>
      <c r="M573" s="175"/>
      <c r="N573" s="175"/>
      <c r="O573" s="175"/>
      <c r="P573" s="175"/>
    </row>
    <row r="574">
      <c r="A574" s="175"/>
      <c r="B574" s="175"/>
      <c r="C574" s="175"/>
      <c r="D574" s="175"/>
      <c r="E574" s="175"/>
      <c r="F574" s="175"/>
      <c r="G574" s="175"/>
      <c r="H574" s="175"/>
      <c r="I574" s="175"/>
      <c r="J574" s="175"/>
      <c r="K574" s="175"/>
      <c r="L574" s="175"/>
      <c r="M574" s="175"/>
      <c r="N574" s="175"/>
      <c r="O574" s="175"/>
      <c r="P574" s="175"/>
    </row>
    <row r="575">
      <c r="A575" s="175"/>
      <c r="B575" s="175"/>
      <c r="C575" s="175"/>
      <c r="D575" s="175"/>
      <c r="E575" s="175"/>
      <c r="F575" s="175"/>
      <c r="G575" s="175"/>
      <c r="H575" s="175"/>
      <c r="I575" s="175"/>
      <c r="J575" s="175"/>
      <c r="K575" s="175"/>
      <c r="L575" s="175"/>
      <c r="M575" s="175"/>
      <c r="N575" s="175"/>
      <c r="O575" s="175"/>
      <c r="P575" s="175"/>
    </row>
    <row r="576">
      <c r="A576" s="175"/>
      <c r="B576" s="175"/>
      <c r="C576" s="175"/>
      <c r="D576" s="175"/>
      <c r="E576" s="175"/>
      <c r="F576" s="175"/>
      <c r="G576" s="175"/>
      <c r="H576" s="175"/>
      <c r="I576" s="175"/>
      <c r="J576" s="175"/>
      <c r="K576" s="175"/>
      <c r="L576" s="175"/>
      <c r="M576" s="175"/>
      <c r="N576" s="175"/>
      <c r="O576" s="175"/>
      <c r="P576" s="175"/>
    </row>
    <row r="577">
      <c r="A577" s="175"/>
      <c r="B577" s="175"/>
      <c r="C577" s="175"/>
      <c r="D577" s="175"/>
      <c r="E577" s="175"/>
      <c r="F577" s="175"/>
      <c r="G577" s="175"/>
      <c r="H577" s="175"/>
      <c r="I577" s="175"/>
      <c r="J577" s="175"/>
      <c r="K577" s="175"/>
      <c r="L577" s="175"/>
      <c r="M577" s="175"/>
      <c r="N577" s="175"/>
      <c r="O577" s="175"/>
      <c r="P577" s="175"/>
    </row>
    <row r="578">
      <c r="A578" s="175"/>
      <c r="B578" s="175"/>
      <c r="C578" s="175"/>
      <c r="D578" s="175"/>
      <c r="E578" s="175"/>
      <c r="F578" s="175"/>
      <c r="G578" s="175"/>
      <c r="H578" s="175"/>
      <c r="I578" s="175"/>
      <c r="J578" s="175"/>
      <c r="K578" s="175"/>
      <c r="L578" s="175"/>
      <c r="M578" s="175"/>
      <c r="N578" s="175"/>
      <c r="O578" s="175"/>
      <c r="P578" s="175"/>
    </row>
    <row r="579">
      <c r="A579" s="175"/>
      <c r="B579" s="175"/>
      <c r="C579" s="175"/>
      <c r="D579" s="175"/>
      <c r="E579" s="175"/>
      <c r="F579" s="175"/>
      <c r="G579" s="175"/>
      <c r="H579" s="175"/>
      <c r="I579" s="175"/>
      <c r="J579" s="175"/>
      <c r="K579" s="175"/>
      <c r="L579" s="175"/>
      <c r="M579" s="175"/>
      <c r="N579" s="175"/>
      <c r="O579" s="175"/>
      <c r="P579" s="175"/>
    </row>
    <row r="580">
      <c r="A580" s="175"/>
      <c r="B580" s="175"/>
      <c r="C580" s="175"/>
      <c r="D580" s="175"/>
      <c r="E580" s="175"/>
      <c r="F580" s="175"/>
      <c r="G580" s="175"/>
      <c r="H580" s="175"/>
      <c r="I580" s="175"/>
      <c r="J580" s="175"/>
      <c r="K580" s="175"/>
      <c r="L580" s="175"/>
      <c r="M580" s="175"/>
      <c r="N580" s="175"/>
      <c r="O580" s="175"/>
      <c r="P580" s="175"/>
    </row>
    <row r="581">
      <c r="A581" s="175"/>
      <c r="B581" s="175"/>
      <c r="C581" s="175"/>
      <c r="D581" s="175"/>
      <c r="E581" s="175"/>
      <c r="F581" s="175"/>
      <c r="G581" s="175"/>
      <c r="H581" s="175"/>
      <c r="I581" s="175"/>
      <c r="J581" s="175"/>
      <c r="K581" s="175"/>
      <c r="L581" s="175"/>
      <c r="M581" s="175"/>
      <c r="N581" s="175"/>
      <c r="O581" s="175"/>
      <c r="P581" s="175"/>
    </row>
    <row r="582">
      <c r="A582" s="175"/>
      <c r="B582" s="175"/>
      <c r="C582" s="175"/>
      <c r="D582" s="175"/>
      <c r="E582" s="175"/>
      <c r="F582" s="175"/>
      <c r="G582" s="175"/>
      <c r="H582" s="175"/>
      <c r="I582" s="175"/>
      <c r="J582" s="175"/>
      <c r="K582" s="175"/>
      <c r="L582" s="175"/>
      <c r="M582" s="175"/>
      <c r="N582" s="175"/>
      <c r="O582" s="175"/>
      <c r="P582" s="175"/>
    </row>
    <row r="583">
      <c r="A583" s="175"/>
      <c r="B583" s="175"/>
      <c r="C583" s="175"/>
      <c r="D583" s="175"/>
      <c r="E583" s="175"/>
      <c r="F583" s="175"/>
      <c r="G583" s="175"/>
      <c r="H583" s="175"/>
      <c r="I583" s="175"/>
      <c r="J583" s="175"/>
      <c r="K583" s="175"/>
      <c r="L583" s="175"/>
      <c r="M583" s="175"/>
      <c r="N583" s="175"/>
      <c r="O583" s="175"/>
      <c r="P583" s="175"/>
    </row>
    <row r="584">
      <c r="A584" s="175"/>
      <c r="B584" s="175"/>
      <c r="C584" s="175"/>
      <c r="D584" s="175"/>
      <c r="E584" s="175"/>
      <c r="F584" s="175"/>
      <c r="G584" s="175"/>
      <c r="H584" s="175"/>
      <c r="I584" s="175"/>
      <c r="J584" s="175"/>
      <c r="K584" s="175"/>
      <c r="L584" s="175"/>
      <c r="M584" s="175"/>
      <c r="N584" s="175"/>
      <c r="O584" s="175"/>
      <c r="P584" s="175"/>
    </row>
    <row r="585">
      <c r="A585" s="175"/>
      <c r="B585" s="175"/>
      <c r="C585" s="175"/>
      <c r="D585" s="175"/>
      <c r="E585" s="175"/>
      <c r="F585" s="175"/>
      <c r="G585" s="175"/>
      <c r="H585" s="175"/>
      <c r="I585" s="175"/>
      <c r="J585" s="175"/>
      <c r="K585" s="175"/>
      <c r="L585" s="175"/>
      <c r="M585" s="175"/>
      <c r="N585" s="175"/>
      <c r="O585" s="175"/>
      <c r="P585" s="175"/>
    </row>
    <row r="586">
      <c r="A586" s="175"/>
      <c r="B586" s="175"/>
      <c r="C586" s="175"/>
      <c r="D586" s="175"/>
      <c r="E586" s="175"/>
      <c r="F586" s="175"/>
      <c r="G586" s="175"/>
      <c r="H586" s="175"/>
      <c r="I586" s="175"/>
      <c r="J586" s="175"/>
      <c r="K586" s="175"/>
      <c r="L586" s="175"/>
      <c r="M586" s="175"/>
      <c r="N586" s="175"/>
      <c r="O586" s="175"/>
      <c r="P586" s="175"/>
    </row>
    <row r="587">
      <c r="A587" s="175"/>
      <c r="B587" s="175"/>
      <c r="C587" s="175"/>
      <c r="D587" s="175"/>
      <c r="E587" s="175"/>
      <c r="F587" s="175"/>
      <c r="G587" s="175"/>
      <c r="H587" s="175"/>
      <c r="I587" s="175"/>
      <c r="J587" s="175"/>
      <c r="K587" s="175"/>
      <c r="L587" s="175"/>
      <c r="M587" s="175"/>
      <c r="N587" s="175"/>
      <c r="O587" s="175"/>
      <c r="P587" s="175"/>
    </row>
    <row r="588">
      <c r="A588" s="175"/>
      <c r="B588" s="175"/>
      <c r="C588" s="175"/>
      <c r="D588" s="175"/>
      <c r="E588" s="175"/>
      <c r="F588" s="175"/>
      <c r="G588" s="175"/>
      <c r="H588" s="175"/>
      <c r="I588" s="175"/>
      <c r="J588" s="175"/>
      <c r="K588" s="175"/>
      <c r="L588" s="175"/>
      <c r="M588" s="175"/>
      <c r="N588" s="175"/>
      <c r="O588" s="175"/>
      <c r="P588" s="175"/>
    </row>
    <row r="589">
      <c r="A589" s="175"/>
      <c r="B589" s="175"/>
      <c r="C589" s="175"/>
      <c r="D589" s="175"/>
      <c r="E589" s="175"/>
      <c r="F589" s="175"/>
      <c r="G589" s="175"/>
      <c r="H589" s="175"/>
      <c r="I589" s="175"/>
      <c r="J589" s="175"/>
      <c r="K589" s="175"/>
      <c r="L589" s="175"/>
      <c r="M589" s="175"/>
      <c r="N589" s="175"/>
      <c r="O589" s="175"/>
      <c r="P589" s="175"/>
    </row>
    <row r="590">
      <c r="A590" s="175"/>
      <c r="B590" s="175"/>
      <c r="C590" s="175"/>
      <c r="D590" s="175"/>
      <c r="E590" s="175"/>
      <c r="F590" s="175"/>
      <c r="G590" s="175"/>
      <c r="H590" s="175"/>
      <c r="I590" s="175"/>
      <c r="J590" s="175"/>
      <c r="K590" s="175"/>
      <c r="L590" s="175"/>
      <c r="M590" s="175"/>
      <c r="N590" s="175"/>
      <c r="O590" s="175"/>
      <c r="P590" s="175"/>
    </row>
    <row r="591">
      <c r="A591" s="175"/>
      <c r="B591" s="175"/>
      <c r="C591" s="175"/>
      <c r="D591" s="175"/>
      <c r="E591" s="175"/>
      <c r="F591" s="175"/>
      <c r="G591" s="175"/>
      <c r="H591" s="175"/>
      <c r="I591" s="175"/>
      <c r="J591" s="175"/>
      <c r="K591" s="175"/>
      <c r="L591" s="175"/>
      <c r="M591" s="175"/>
      <c r="N591" s="175"/>
      <c r="O591" s="175"/>
      <c r="P591" s="175"/>
    </row>
    <row r="592">
      <c r="A592" s="175"/>
      <c r="B592" s="175"/>
      <c r="C592" s="175"/>
      <c r="D592" s="175"/>
      <c r="E592" s="175"/>
      <c r="F592" s="175"/>
      <c r="G592" s="175"/>
      <c r="H592" s="175"/>
      <c r="I592" s="175"/>
      <c r="J592" s="175"/>
      <c r="K592" s="175"/>
      <c r="L592" s="175"/>
      <c r="M592" s="175"/>
      <c r="N592" s="175"/>
      <c r="O592" s="175"/>
      <c r="P592" s="175"/>
    </row>
    <row r="593">
      <c r="A593" s="175"/>
      <c r="B593" s="175"/>
      <c r="C593" s="175"/>
      <c r="D593" s="175"/>
      <c r="E593" s="175"/>
      <c r="F593" s="175"/>
      <c r="G593" s="175"/>
      <c r="H593" s="175"/>
      <c r="I593" s="175"/>
      <c r="J593" s="175"/>
      <c r="K593" s="175"/>
      <c r="L593" s="175"/>
      <c r="M593" s="175"/>
      <c r="N593" s="175"/>
      <c r="O593" s="175"/>
      <c r="P593" s="175"/>
    </row>
    <row r="594">
      <c r="A594" s="175"/>
      <c r="B594" s="175"/>
      <c r="C594" s="175"/>
      <c r="D594" s="175"/>
      <c r="E594" s="175"/>
      <c r="F594" s="175"/>
      <c r="G594" s="175"/>
      <c r="H594" s="175"/>
      <c r="I594" s="175"/>
      <c r="J594" s="175"/>
      <c r="K594" s="175"/>
      <c r="L594" s="175"/>
      <c r="M594" s="175"/>
      <c r="N594" s="175"/>
      <c r="O594" s="175"/>
      <c r="P594" s="175"/>
    </row>
    <row r="595">
      <c r="A595" s="175"/>
      <c r="B595" s="175"/>
      <c r="C595" s="175"/>
      <c r="D595" s="175"/>
      <c r="E595" s="175"/>
      <c r="F595" s="175"/>
      <c r="G595" s="175"/>
      <c r="H595" s="175"/>
      <c r="I595" s="175"/>
      <c r="J595" s="175"/>
      <c r="K595" s="175"/>
      <c r="L595" s="175"/>
      <c r="M595" s="175"/>
      <c r="N595" s="175"/>
      <c r="O595" s="175"/>
      <c r="P595" s="175"/>
    </row>
    <row r="596">
      <c r="A596" s="175"/>
      <c r="B596" s="175"/>
      <c r="C596" s="175"/>
      <c r="D596" s="175"/>
      <c r="E596" s="175"/>
      <c r="F596" s="175"/>
      <c r="G596" s="175"/>
      <c r="H596" s="175"/>
      <c r="I596" s="175"/>
      <c r="J596" s="175"/>
      <c r="K596" s="175"/>
      <c r="L596" s="175"/>
      <c r="M596" s="175"/>
      <c r="N596" s="175"/>
      <c r="O596" s="175"/>
      <c r="P596" s="175"/>
    </row>
    <row r="597">
      <c r="A597" s="175"/>
      <c r="B597" s="175"/>
      <c r="C597" s="175"/>
      <c r="D597" s="175"/>
      <c r="E597" s="175"/>
      <c r="F597" s="175"/>
      <c r="G597" s="175"/>
      <c r="H597" s="175"/>
      <c r="I597" s="175"/>
      <c r="J597" s="175"/>
      <c r="K597" s="175"/>
      <c r="L597" s="175"/>
      <c r="M597" s="175"/>
      <c r="N597" s="175"/>
      <c r="O597" s="175"/>
      <c r="P597" s="175"/>
    </row>
    <row r="598">
      <c r="A598" s="175"/>
      <c r="B598" s="175"/>
      <c r="C598" s="175"/>
      <c r="D598" s="175"/>
      <c r="E598" s="175"/>
      <c r="F598" s="175"/>
      <c r="G598" s="175"/>
      <c r="H598" s="175"/>
      <c r="I598" s="175"/>
      <c r="J598" s="175"/>
      <c r="K598" s="175"/>
      <c r="L598" s="175"/>
      <c r="M598" s="175"/>
      <c r="N598" s="175"/>
      <c r="O598" s="175"/>
      <c r="P598" s="175"/>
    </row>
    <row r="599">
      <c r="A599" s="175"/>
      <c r="B599" s="175"/>
      <c r="C599" s="175"/>
      <c r="D599" s="175"/>
      <c r="E599" s="175"/>
      <c r="F599" s="175"/>
      <c r="G599" s="175"/>
      <c r="H599" s="175"/>
      <c r="I599" s="175"/>
      <c r="J599" s="175"/>
      <c r="K599" s="175"/>
      <c r="L599" s="175"/>
      <c r="M599" s="175"/>
      <c r="N599" s="175"/>
      <c r="O599" s="175"/>
      <c r="P599" s="175"/>
    </row>
    <row r="600">
      <c r="A600" s="175"/>
      <c r="B600" s="175"/>
      <c r="C600" s="175"/>
      <c r="D600" s="175"/>
      <c r="E600" s="175"/>
      <c r="F600" s="175"/>
      <c r="G600" s="175"/>
      <c r="H600" s="175"/>
      <c r="I600" s="175"/>
      <c r="J600" s="175"/>
      <c r="K600" s="175"/>
      <c r="L600" s="175"/>
      <c r="M600" s="175"/>
      <c r="N600" s="175"/>
      <c r="O600" s="175"/>
      <c r="P600" s="175"/>
    </row>
    <row r="601">
      <c r="A601" s="175"/>
      <c r="B601" s="175"/>
      <c r="C601" s="175"/>
      <c r="D601" s="175"/>
      <c r="E601" s="175"/>
      <c r="F601" s="175"/>
      <c r="G601" s="175"/>
      <c r="H601" s="175"/>
      <c r="I601" s="175"/>
      <c r="J601" s="175"/>
      <c r="K601" s="175"/>
      <c r="L601" s="175"/>
      <c r="M601" s="175"/>
      <c r="N601" s="175"/>
      <c r="O601" s="175"/>
      <c r="P601" s="175"/>
    </row>
    <row r="602">
      <c r="A602" s="175"/>
      <c r="B602" s="175"/>
      <c r="C602" s="175"/>
      <c r="D602" s="175"/>
      <c r="E602" s="175"/>
      <c r="F602" s="175"/>
      <c r="G602" s="175"/>
      <c r="H602" s="175"/>
      <c r="I602" s="175"/>
      <c r="J602" s="175"/>
      <c r="K602" s="175"/>
      <c r="L602" s="175"/>
      <c r="M602" s="175"/>
      <c r="N602" s="175"/>
      <c r="O602" s="175"/>
      <c r="P602" s="175"/>
    </row>
    <row r="603">
      <c r="A603" s="175"/>
      <c r="B603" s="175"/>
      <c r="C603" s="175"/>
      <c r="D603" s="175"/>
      <c r="E603" s="175"/>
      <c r="F603" s="175"/>
      <c r="G603" s="175"/>
      <c r="H603" s="175"/>
      <c r="I603" s="175"/>
      <c r="J603" s="175"/>
      <c r="K603" s="175"/>
      <c r="L603" s="175"/>
      <c r="M603" s="175"/>
      <c r="N603" s="175"/>
      <c r="O603" s="175"/>
      <c r="P603" s="175"/>
    </row>
    <row r="604">
      <c r="A604" s="175"/>
      <c r="B604" s="175"/>
      <c r="C604" s="175"/>
      <c r="D604" s="175"/>
      <c r="E604" s="175"/>
      <c r="F604" s="175"/>
      <c r="G604" s="175"/>
      <c r="H604" s="175"/>
      <c r="I604" s="175"/>
      <c r="J604" s="175"/>
      <c r="K604" s="175"/>
      <c r="L604" s="175"/>
      <c r="M604" s="175"/>
      <c r="N604" s="175"/>
      <c r="O604" s="175"/>
      <c r="P604" s="175"/>
    </row>
    <row r="605">
      <c r="A605" s="175"/>
      <c r="B605" s="175"/>
      <c r="C605" s="175"/>
      <c r="D605" s="175"/>
      <c r="E605" s="175"/>
      <c r="F605" s="175"/>
      <c r="G605" s="175"/>
      <c r="H605" s="175"/>
      <c r="I605" s="175"/>
      <c r="J605" s="175"/>
      <c r="K605" s="175"/>
      <c r="L605" s="175"/>
      <c r="M605" s="175"/>
      <c r="N605" s="175"/>
      <c r="O605" s="175"/>
      <c r="P605" s="175"/>
    </row>
    <row r="606">
      <c r="A606" s="175"/>
      <c r="B606" s="175"/>
      <c r="C606" s="175"/>
      <c r="D606" s="175"/>
      <c r="E606" s="175"/>
      <c r="F606" s="175"/>
      <c r="G606" s="175"/>
      <c r="H606" s="175"/>
      <c r="I606" s="175"/>
      <c r="J606" s="175"/>
      <c r="K606" s="175"/>
      <c r="L606" s="175"/>
      <c r="M606" s="175"/>
      <c r="N606" s="175"/>
      <c r="O606" s="175"/>
      <c r="P606" s="175"/>
    </row>
    <row r="607">
      <c r="A607" s="175"/>
      <c r="B607" s="175"/>
      <c r="C607" s="175"/>
      <c r="D607" s="175"/>
      <c r="E607" s="175"/>
      <c r="F607" s="175"/>
      <c r="G607" s="175"/>
      <c r="H607" s="175"/>
      <c r="I607" s="175"/>
      <c r="J607" s="175"/>
      <c r="K607" s="175"/>
      <c r="L607" s="175"/>
      <c r="M607" s="175"/>
      <c r="N607" s="175"/>
      <c r="O607" s="175"/>
      <c r="P607" s="175"/>
    </row>
    <row r="608">
      <c r="A608" s="175"/>
      <c r="B608" s="175"/>
      <c r="C608" s="175"/>
      <c r="D608" s="175"/>
      <c r="E608" s="175"/>
      <c r="F608" s="175"/>
      <c r="G608" s="175"/>
      <c r="H608" s="175"/>
      <c r="I608" s="175"/>
      <c r="J608" s="175"/>
      <c r="K608" s="175"/>
      <c r="L608" s="175"/>
      <c r="M608" s="175"/>
      <c r="N608" s="175"/>
      <c r="O608" s="175"/>
      <c r="P608" s="175"/>
    </row>
    <row r="609">
      <c r="A609" s="175"/>
      <c r="B609" s="175"/>
      <c r="C609" s="175"/>
      <c r="D609" s="175"/>
      <c r="E609" s="175"/>
      <c r="F609" s="175"/>
      <c r="G609" s="175"/>
      <c r="H609" s="175"/>
      <c r="I609" s="175"/>
      <c r="J609" s="175"/>
      <c r="K609" s="175"/>
      <c r="L609" s="175"/>
      <c r="M609" s="175"/>
      <c r="N609" s="175"/>
      <c r="O609" s="175"/>
      <c r="P609" s="175"/>
    </row>
    <row r="610">
      <c r="A610" s="175"/>
      <c r="B610" s="175"/>
      <c r="C610" s="175"/>
      <c r="D610" s="175"/>
      <c r="E610" s="175"/>
      <c r="F610" s="175"/>
      <c r="G610" s="175"/>
      <c r="H610" s="175"/>
      <c r="I610" s="175"/>
      <c r="J610" s="175"/>
      <c r="K610" s="175"/>
      <c r="L610" s="175"/>
      <c r="M610" s="175"/>
      <c r="N610" s="175"/>
      <c r="O610" s="175"/>
      <c r="P610" s="175"/>
    </row>
    <row r="611">
      <c r="A611" s="175"/>
      <c r="B611" s="175"/>
      <c r="C611" s="175"/>
      <c r="D611" s="175"/>
      <c r="E611" s="175"/>
      <c r="F611" s="175"/>
      <c r="G611" s="175"/>
      <c r="H611" s="175"/>
      <c r="I611" s="175"/>
      <c r="J611" s="175"/>
      <c r="K611" s="175"/>
      <c r="L611" s="175"/>
      <c r="M611" s="175"/>
      <c r="N611" s="175"/>
      <c r="O611" s="175"/>
      <c r="P611" s="175"/>
    </row>
    <row r="612">
      <c r="A612" s="175"/>
      <c r="B612" s="175"/>
      <c r="C612" s="175"/>
      <c r="D612" s="175"/>
      <c r="E612" s="175"/>
      <c r="F612" s="175"/>
      <c r="G612" s="175"/>
      <c r="H612" s="175"/>
      <c r="I612" s="175"/>
      <c r="J612" s="175"/>
      <c r="K612" s="175"/>
      <c r="L612" s="175"/>
      <c r="M612" s="175"/>
      <c r="N612" s="175"/>
      <c r="O612" s="175"/>
      <c r="P612" s="175"/>
    </row>
    <row r="613">
      <c r="A613" s="175"/>
      <c r="B613" s="175"/>
      <c r="C613" s="175"/>
      <c r="D613" s="175"/>
      <c r="E613" s="175"/>
      <c r="F613" s="175"/>
      <c r="G613" s="175"/>
      <c r="H613" s="175"/>
      <c r="I613" s="175"/>
      <c r="J613" s="175"/>
      <c r="K613" s="175"/>
      <c r="L613" s="175"/>
      <c r="M613" s="175"/>
      <c r="N613" s="175"/>
      <c r="O613" s="175"/>
      <c r="P613" s="175"/>
    </row>
    <row r="614">
      <c r="A614" s="175"/>
      <c r="B614" s="175"/>
      <c r="C614" s="175"/>
      <c r="D614" s="175"/>
      <c r="E614" s="175"/>
      <c r="F614" s="175"/>
      <c r="G614" s="175"/>
      <c r="H614" s="175"/>
      <c r="I614" s="175"/>
      <c r="J614" s="175"/>
      <c r="K614" s="175"/>
      <c r="L614" s="175"/>
      <c r="M614" s="175"/>
      <c r="N614" s="175"/>
      <c r="O614" s="175"/>
      <c r="P614" s="175"/>
    </row>
    <row r="615">
      <c r="A615" s="175"/>
      <c r="B615" s="175"/>
      <c r="C615" s="175"/>
      <c r="D615" s="175"/>
      <c r="E615" s="175"/>
      <c r="F615" s="175"/>
      <c r="G615" s="175"/>
      <c r="H615" s="175"/>
      <c r="I615" s="175"/>
      <c r="J615" s="175"/>
      <c r="K615" s="175"/>
      <c r="L615" s="175"/>
      <c r="M615" s="175"/>
      <c r="N615" s="175"/>
      <c r="O615" s="175"/>
      <c r="P615" s="175"/>
    </row>
    <row r="616">
      <c r="A616" s="175"/>
      <c r="B616" s="175"/>
      <c r="C616" s="175"/>
      <c r="D616" s="175"/>
      <c r="E616" s="175"/>
      <c r="F616" s="175"/>
      <c r="G616" s="175"/>
      <c r="H616" s="175"/>
      <c r="I616" s="175"/>
      <c r="J616" s="175"/>
      <c r="K616" s="175"/>
      <c r="L616" s="175"/>
      <c r="M616" s="175"/>
      <c r="N616" s="175"/>
      <c r="O616" s="175"/>
      <c r="P616" s="175"/>
    </row>
    <row r="617">
      <c r="A617" s="175"/>
      <c r="B617" s="175"/>
      <c r="C617" s="175"/>
      <c r="D617" s="175"/>
      <c r="E617" s="175"/>
      <c r="F617" s="175"/>
      <c r="G617" s="175"/>
      <c r="H617" s="175"/>
      <c r="I617" s="175"/>
      <c r="J617" s="175"/>
      <c r="K617" s="175"/>
      <c r="L617" s="175"/>
      <c r="M617" s="175"/>
      <c r="N617" s="175"/>
      <c r="O617" s="175"/>
      <c r="P617" s="175"/>
    </row>
    <row r="618">
      <c r="A618" s="175"/>
      <c r="B618" s="175"/>
      <c r="C618" s="175"/>
      <c r="D618" s="175"/>
      <c r="E618" s="175"/>
      <c r="F618" s="175"/>
      <c r="G618" s="175"/>
      <c r="H618" s="175"/>
      <c r="I618" s="175"/>
      <c r="J618" s="175"/>
      <c r="K618" s="175"/>
      <c r="L618" s="175"/>
      <c r="M618" s="175"/>
      <c r="N618" s="175"/>
      <c r="O618" s="175"/>
      <c r="P618" s="175"/>
    </row>
    <row r="619">
      <c r="A619" s="175"/>
      <c r="B619" s="175"/>
      <c r="C619" s="175"/>
      <c r="D619" s="175"/>
      <c r="E619" s="175"/>
      <c r="F619" s="175"/>
      <c r="G619" s="175"/>
      <c r="H619" s="175"/>
      <c r="I619" s="175"/>
      <c r="J619" s="175"/>
      <c r="K619" s="175"/>
      <c r="L619" s="175"/>
      <c r="M619" s="175"/>
      <c r="N619" s="175"/>
      <c r="O619" s="175"/>
      <c r="P619" s="175"/>
    </row>
    <row r="620">
      <c r="A620" s="175"/>
      <c r="B620" s="175"/>
      <c r="C620" s="175"/>
      <c r="D620" s="175"/>
      <c r="E620" s="175"/>
      <c r="F620" s="175"/>
      <c r="G620" s="175"/>
      <c r="H620" s="175"/>
      <c r="I620" s="175"/>
      <c r="J620" s="175"/>
      <c r="K620" s="175"/>
      <c r="L620" s="175"/>
      <c r="M620" s="175"/>
      <c r="N620" s="175"/>
      <c r="O620" s="175"/>
      <c r="P620" s="175"/>
    </row>
    <row r="621">
      <c r="A621" s="175"/>
      <c r="B621" s="175"/>
      <c r="C621" s="175"/>
      <c r="D621" s="175"/>
      <c r="E621" s="175"/>
      <c r="F621" s="175"/>
      <c r="G621" s="175"/>
      <c r="H621" s="175"/>
      <c r="I621" s="175"/>
      <c r="J621" s="175"/>
      <c r="K621" s="175"/>
      <c r="L621" s="175"/>
      <c r="M621" s="175"/>
      <c r="N621" s="175"/>
      <c r="O621" s="175"/>
      <c r="P621" s="175"/>
    </row>
    <row r="622">
      <c r="A622" s="175"/>
      <c r="B622" s="175"/>
      <c r="C622" s="175"/>
      <c r="D622" s="175"/>
      <c r="E622" s="175"/>
      <c r="F622" s="175"/>
      <c r="G622" s="175"/>
      <c r="H622" s="175"/>
      <c r="I622" s="175"/>
      <c r="J622" s="175"/>
      <c r="K622" s="175"/>
      <c r="L622" s="175"/>
      <c r="M622" s="175"/>
      <c r="N622" s="175"/>
      <c r="O622" s="175"/>
      <c r="P622" s="175"/>
    </row>
    <row r="623">
      <c r="A623" s="175"/>
      <c r="B623" s="175"/>
      <c r="C623" s="175"/>
      <c r="D623" s="175"/>
      <c r="E623" s="175"/>
      <c r="F623" s="175"/>
      <c r="G623" s="175"/>
      <c r="H623" s="175"/>
      <c r="I623" s="175"/>
      <c r="J623" s="175"/>
      <c r="K623" s="175"/>
      <c r="L623" s="175"/>
      <c r="M623" s="175"/>
      <c r="N623" s="175"/>
      <c r="O623" s="175"/>
      <c r="P623" s="175"/>
    </row>
    <row r="624">
      <c r="A624" s="175"/>
      <c r="B624" s="175"/>
      <c r="C624" s="175"/>
      <c r="D624" s="175"/>
      <c r="E624" s="175"/>
      <c r="F624" s="175"/>
      <c r="G624" s="175"/>
      <c r="H624" s="175"/>
      <c r="I624" s="175"/>
      <c r="J624" s="175"/>
      <c r="K624" s="175"/>
      <c r="L624" s="175"/>
      <c r="M624" s="175"/>
      <c r="N624" s="175"/>
      <c r="O624" s="175"/>
      <c r="P624" s="175"/>
    </row>
    <row r="625">
      <c r="A625" s="175"/>
      <c r="B625" s="175"/>
      <c r="C625" s="175"/>
      <c r="D625" s="175"/>
      <c r="E625" s="175"/>
      <c r="F625" s="175"/>
      <c r="G625" s="175"/>
      <c r="H625" s="175"/>
      <c r="I625" s="175"/>
      <c r="J625" s="175"/>
      <c r="K625" s="175"/>
      <c r="L625" s="175"/>
      <c r="M625" s="175"/>
      <c r="N625" s="175"/>
      <c r="O625" s="175"/>
      <c r="P625" s="175"/>
    </row>
    <row r="626">
      <c r="A626" s="175"/>
      <c r="B626" s="175"/>
      <c r="C626" s="175"/>
      <c r="D626" s="175"/>
      <c r="E626" s="175"/>
      <c r="F626" s="175"/>
      <c r="G626" s="175"/>
      <c r="H626" s="175"/>
      <c r="I626" s="175"/>
      <c r="J626" s="175"/>
      <c r="K626" s="175"/>
      <c r="L626" s="175"/>
      <c r="M626" s="175"/>
      <c r="N626" s="175"/>
      <c r="O626" s="175"/>
      <c r="P626" s="175"/>
    </row>
    <row r="627">
      <c r="A627" s="175"/>
      <c r="B627" s="175"/>
      <c r="C627" s="175"/>
      <c r="D627" s="175"/>
      <c r="E627" s="175"/>
      <c r="F627" s="175"/>
      <c r="G627" s="175"/>
      <c r="H627" s="175"/>
      <c r="I627" s="175"/>
      <c r="J627" s="175"/>
      <c r="K627" s="175"/>
      <c r="L627" s="175"/>
      <c r="M627" s="175"/>
      <c r="N627" s="175"/>
      <c r="O627" s="175"/>
      <c r="P627" s="175"/>
    </row>
    <row r="628">
      <c r="A628" s="175"/>
      <c r="B628" s="175"/>
      <c r="C628" s="175"/>
      <c r="D628" s="175"/>
      <c r="E628" s="175"/>
      <c r="F628" s="175"/>
      <c r="G628" s="175"/>
      <c r="H628" s="175"/>
      <c r="I628" s="175"/>
      <c r="J628" s="175"/>
      <c r="K628" s="175"/>
      <c r="L628" s="175"/>
      <c r="M628" s="175"/>
      <c r="N628" s="175"/>
      <c r="O628" s="175"/>
      <c r="P628" s="175"/>
    </row>
    <row r="629">
      <c r="A629" s="175"/>
      <c r="B629" s="175"/>
      <c r="C629" s="175"/>
      <c r="D629" s="175"/>
      <c r="E629" s="175"/>
      <c r="F629" s="175"/>
      <c r="G629" s="175"/>
      <c r="H629" s="175"/>
      <c r="I629" s="175"/>
      <c r="J629" s="175"/>
      <c r="K629" s="175"/>
      <c r="L629" s="175"/>
      <c r="M629" s="175"/>
      <c r="N629" s="175"/>
      <c r="O629" s="175"/>
      <c r="P629" s="175"/>
    </row>
    <row r="630">
      <c r="A630" s="175"/>
      <c r="B630" s="175"/>
      <c r="C630" s="175"/>
      <c r="D630" s="175"/>
      <c r="E630" s="175"/>
      <c r="F630" s="175"/>
      <c r="G630" s="175"/>
      <c r="H630" s="175"/>
      <c r="I630" s="175"/>
      <c r="J630" s="175"/>
      <c r="K630" s="175"/>
      <c r="L630" s="175"/>
      <c r="M630" s="175"/>
      <c r="N630" s="175"/>
      <c r="O630" s="175"/>
      <c r="P630" s="175"/>
    </row>
    <row r="631">
      <c r="A631" s="175"/>
      <c r="B631" s="175"/>
      <c r="C631" s="175"/>
      <c r="D631" s="175"/>
      <c r="E631" s="175"/>
      <c r="F631" s="175"/>
      <c r="G631" s="175"/>
      <c r="H631" s="175"/>
      <c r="I631" s="175"/>
      <c r="J631" s="175"/>
      <c r="K631" s="175"/>
      <c r="L631" s="175"/>
      <c r="M631" s="175"/>
      <c r="N631" s="175"/>
      <c r="O631" s="175"/>
      <c r="P631" s="175"/>
    </row>
    <row r="632">
      <c r="A632" s="175"/>
      <c r="B632" s="175"/>
      <c r="C632" s="175"/>
      <c r="D632" s="175"/>
      <c r="E632" s="175"/>
      <c r="F632" s="175"/>
      <c r="G632" s="175"/>
      <c r="H632" s="175"/>
      <c r="I632" s="175"/>
      <c r="J632" s="175"/>
      <c r="K632" s="175"/>
      <c r="L632" s="175"/>
      <c r="M632" s="175"/>
      <c r="N632" s="175"/>
      <c r="O632" s="175"/>
      <c r="P632" s="175"/>
    </row>
    <row r="633">
      <c r="A633" s="175"/>
      <c r="B633" s="175"/>
      <c r="C633" s="175"/>
      <c r="D633" s="175"/>
      <c r="E633" s="175"/>
      <c r="F633" s="175"/>
      <c r="G633" s="175"/>
      <c r="H633" s="175"/>
      <c r="I633" s="175"/>
      <c r="J633" s="175"/>
      <c r="K633" s="175"/>
      <c r="L633" s="175"/>
      <c r="M633" s="175"/>
      <c r="N633" s="175"/>
      <c r="O633" s="175"/>
      <c r="P633" s="175"/>
    </row>
    <row r="634">
      <c r="A634" s="175"/>
      <c r="B634" s="175"/>
      <c r="C634" s="175"/>
      <c r="D634" s="175"/>
      <c r="E634" s="175"/>
      <c r="F634" s="175"/>
      <c r="G634" s="175"/>
      <c r="H634" s="175"/>
      <c r="I634" s="175"/>
      <c r="J634" s="175"/>
      <c r="K634" s="175"/>
      <c r="L634" s="175"/>
      <c r="M634" s="175"/>
      <c r="N634" s="175"/>
      <c r="O634" s="175"/>
      <c r="P634" s="175"/>
    </row>
    <row r="635">
      <c r="A635" s="175"/>
      <c r="B635" s="175"/>
      <c r="C635" s="175"/>
      <c r="D635" s="175"/>
      <c r="E635" s="175"/>
      <c r="F635" s="175"/>
      <c r="G635" s="175"/>
      <c r="H635" s="175"/>
      <c r="I635" s="175"/>
      <c r="J635" s="175"/>
      <c r="K635" s="175"/>
      <c r="L635" s="175"/>
      <c r="M635" s="175"/>
      <c r="N635" s="175"/>
      <c r="O635" s="175"/>
      <c r="P635" s="175"/>
    </row>
    <row r="636">
      <c r="A636" s="175"/>
      <c r="B636" s="175"/>
      <c r="C636" s="175"/>
      <c r="D636" s="175"/>
      <c r="E636" s="175"/>
      <c r="F636" s="175"/>
      <c r="G636" s="175"/>
      <c r="H636" s="175"/>
      <c r="I636" s="175"/>
      <c r="J636" s="175"/>
      <c r="K636" s="175"/>
      <c r="L636" s="175"/>
      <c r="M636" s="175"/>
      <c r="N636" s="175"/>
      <c r="O636" s="175"/>
      <c r="P636" s="175"/>
    </row>
    <row r="637">
      <c r="A637" s="175"/>
      <c r="B637" s="175"/>
      <c r="C637" s="175"/>
      <c r="D637" s="175"/>
      <c r="E637" s="175"/>
      <c r="F637" s="175"/>
      <c r="G637" s="175"/>
      <c r="H637" s="175"/>
      <c r="I637" s="175"/>
      <c r="J637" s="175"/>
      <c r="K637" s="175"/>
      <c r="L637" s="175"/>
      <c r="M637" s="175"/>
      <c r="N637" s="175"/>
      <c r="O637" s="175"/>
      <c r="P637" s="175"/>
    </row>
    <row r="638">
      <c r="A638" s="175"/>
      <c r="B638" s="175"/>
      <c r="C638" s="175"/>
      <c r="D638" s="175"/>
      <c r="E638" s="175"/>
      <c r="F638" s="175"/>
      <c r="G638" s="175"/>
      <c r="H638" s="175"/>
      <c r="I638" s="175"/>
      <c r="J638" s="175"/>
      <c r="K638" s="175"/>
      <c r="L638" s="175"/>
      <c r="M638" s="175"/>
      <c r="N638" s="175"/>
      <c r="O638" s="175"/>
      <c r="P638" s="175"/>
    </row>
    <row r="639">
      <c r="A639" s="175"/>
      <c r="B639" s="175"/>
      <c r="C639" s="175"/>
      <c r="D639" s="175"/>
      <c r="E639" s="175"/>
      <c r="F639" s="175"/>
      <c r="G639" s="175"/>
      <c r="H639" s="175"/>
      <c r="I639" s="175"/>
      <c r="J639" s="175"/>
      <c r="K639" s="175"/>
      <c r="L639" s="175"/>
      <c r="M639" s="175"/>
      <c r="N639" s="175"/>
      <c r="O639" s="175"/>
      <c r="P639" s="175"/>
    </row>
    <row r="640">
      <c r="A640" s="175"/>
      <c r="B640" s="175"/>
      <c r="C640" s="175"/>
      <c r="D640" s="175"/>
      <c r="E640" s="175"/>
      <c r="F640" s="175"/>
      <c r="G640" s="175"/>
      <c r="H640" s="175"/>
      <c r="I640" s="175"/>
      <c r="J640" s="175"/>
      <c r="K640" s="175"/>
      <c r="L640" s="175"/>
      <c r="M640" s="175"/>
      <c r="N640" s="175"/>
      <c r="O640" s="175"/>
      <c r="P640" s="175"/>
    </row>
    <row r="641">
      <c r="A641" s="175"/>
      <c r="B641" s="175"/>
      <c r="C641" s="175"/>
      <c r="D641" s="175"/>
      <c r="E641" s="175"/>
      <c r="F641" s="175"/>
      <c r="G641" s="175"/>
      <c r="H641" s="175"/>
      <c r="I641" s="175"/>
      <c r="J641" s="175"/>
      <c r="K641" s="175"/>
      <c r="L641" s="175"/>
      <c r="M641" s="175"/>
      <c r="N641" s="175"/>
      <c r="O641" s="175"/>
      <c r="P641" s="175"/>
    </row>
    <row r="642">
      <c r="A642" s="175"/>
      <c r="B642" s="175"/>
      <c r="C642" s="175"/>
      <c r="D642" s="175"/>
      <c r="E642" s="175"/>
      <c r="F642" s="175"/>
      <c r="G642" s="175"/>
      <c r="H642" s="175"/>
      <c r="I642" s="175"/>
      <c r="J642" s="175"/>
      <c r="K642" s="175"/>
      <c r="L642" s="175"/>
      <c r="M642" s="175"/>
      <c r="N642" s="175"/>
      <c r="O642" s="175"/>
      <c r="P642" s="175"/>
    </row>
    <row r="643">
      <c r="A643" s="175"/>
      <c r="B643" s="175"/>
      <c r="C643" s="175"/>
      <c r="D643" s="175"/>
      <c r="E643" s="175"/>
      <c r="F643" s="175"/>
      <c r="G643" s="175"/>
      <c r="H643" s="175"/>
      <c r="I643" s="175"/>
      <c r="J643" s="175"/>
      <c r="K643" s="175"/>
      <c r="L643" s="175"/>
      <c r="M643" s="175"/>
      <c r="N643" s="175"/>
      <c r="O643" s="175"/>
      <c r="P643" s="175"/>
    </row>
    <row r="644">
      <c r="A644" s="175"/>
      <c r="B644" s="175"/>
      <c r="C644" s="175"/>
      <c r="D644" s="175"/>
      <c r="E644" s="175"/>
      <c r="F644" s="175"/>
      <c r="G644" s="175"/>
      <c r="H644" s="175"/>
      <c r="I644" s="175"/>
      <c r="J644" s="175"/>
      <c r="K644" s="175"/>
      <c r="L644" s="175"/>
      <c r="M644" s="175"/>
      <c r="N644" s="175"/>
      <c r="O644" s="175"/>
      <c r="P644" s="175"/>
    </row>
    <row r="645">
      <c r="A645" s="175"/>
      <c r="B645" s="175"/>
      <c r="C645" s="175"/>
      <c r="D645" s="175"/>
      <c r="E645" s="175"/>
      <c r="F645" s="175"/>
      <c r="G645" s="175"/>
      <c r="H645" s="175"/>
      <c r="I645" s="175"/>
      <c r="J645" s="175"/>
      <c r="K645" s="175"/>
      <c r="L645" s="175"/>
      <c r="M645" s="175"/>
      <c r="N645" s="175"/>
      <c r="O645" s="175"/>
      <c r="P645" s="175"/>
    </row>
    <row r="646">
      <c r="A646" s="175"/>
      <c r="B646" s="175"/>
      <c r="C646" s="175"/>
      <c r="D646" s="175"/>
      <c r="E646" s="175"/>
      <c r="F646" s="175"/>
      <c r="G646" s="175"/>
      <c r="H646" s="175"/>
      <c r="I646" s="175"/>
      <c r="J646" s="175"/>
      <c r="K646" s="175"/>
      <c r="L646" s="175"/>
      <c r="M646" s="175"/>
      <c r="N646" s="175"/>
      <c r="O646" s="175"/>
      <c r="P646" s="175"/>
    </row>
    <row r="647">
      <c r="A647" s="175"/>
      <c r="B647" s="175"/>
      <c r="C647" s="175"/>
      <c r="D647" s="175"/>
      <c r="E647" s="175"/>
      <c r="F647" s="175"/>
      <c r="G647" s="175"/>
      <c r="H647" s="175"/>
      <c r="I647" s="175"/>
      <c r="J647" s="175"/>
      <c r="K647" s="175"/>
      <c r="L647" s="175"/>
      <c r="M647" s="175"/>
      <c r="N647" s="175"/>
      <c r="O647" s="175"/>
      <c r="P647" s="175"/>
    </row>
    <row r="648">
      <c r="A648" s="175"/>
      <c r="B648" s="175"/>
      <c r="C648" s="175"/>
      <c r="D648" s="175"/>
      <c r="E648" s="175"/>
      <c r="F648" s="175"/>
      <c r="G648" s="175"/>
      <c r="H648" s="175"/>
      <c r="I648" s="175"/>
      <c r="J648" s="175"/>
      <c r="K648" s="175"/>
      <c r="L648" s="175"/>
      <c r="M648" s="175"/>
      <c r="N648" s="175"/>
      <c r="O648" s="175"/>
      <c r="P648" s="175"/>
    </row>
    <row r="649">
      <c r="A649" s="175"/>
      <c r="B649" s="175"/>
      <c r="C649" s="175"/>
      <c r="D649" s="175"/>
      <c r="E649" s="175"/>
      <c r="F649" s="175"/>
      <c r="G649" s="175"/>
      <c r="H649" s="175"/>
      <c r="I649" s="175"/>
      <c r="J649" s="175"/>
      <c r="K649" s="175"/>
      <c r="L649" s="175"/>
      <c r="M649" s="175"/>
      <c r="N649" s="175"/>
      <c r="O649" s="175"/>
      <c r="P649" s="175"/>
    </row>
    <row r="650">
      <c r="A650" s="175"/>
      <c r="B650" s="175"/>
      <c r="C650" s="175"/>
      <c r="D650" s="175"/>
      <c r="E650" s="175"/>
      <c r="F650" s="175"/>
      <c r="G650" s="175"/>
      <c r="H650" s="175"/>
      <c r="I650" s="175"/>
      <c r="J650" s="175"/>
      <c r="K650" s="175"/>
      <c r="L650" s="175"/>
      <c r="M650" s="175"/>
      <c r="N650" s="175"/>
      <c r="O650" s="175"/>
      <c r="P650" s="175"/>
    </row>
    <row r="651">
      <c r="A651" s="175"/>
      <c r="B651" s="175"/>
      <c r="C651" s="175"/>
      <c r="D651" s="175"/>
      <c r="E651" s="175"/>
      <c r="F651" s="175"/>
      <c r="G651" s="175"/>
      <c r="H651" s="175"/>
      <c r="I651" s="175"/>
      <c r="J651" s="175"/>
      <c r="K651" s="175"/>
      <c r="L651" s="175"/>
      <c r="M651" s="175"/>
      <c r="N651" s="175"/>
      <c r="O651" s="175"/>
      <c r="P651" s="175"/>
    </row>
    <row r="652">
      <c r="A652" s="175"/>
      <c r="B652" s="175"/>
      <c r="C652" s="175"/>
      <c r="D652" s="175"/>
      <c r="E652" s="175"/>
      <c r="F652" s="175"/>
      <c r="G652" s="175"/>
      <c r="H652" s="175"/>
      <c r="I652" s="175"/>
      <c r="J652" s="175"/>
      <c r="K652" s="175"/>
      <c r="L652" s="175"/>
      <c r="M652" s="175"/>
      <c r="N652" s="175"/>
      <c r="O652" s="175"/>
      <c r="P652" s="175"/>
    </row>
    <row r="653">
      <c r="A653" s="175"/>
      <c r="B653" s="175"/>
      <c r="C653" s="175"/>
      <c r="D653" s="175"/>
      <c r="E653" s="175"/>
      <c r="F653" s="175"/>
      <c r="G653" s="175"/>
      <c r="H653" s="175"/>
      <c r="I653" s="175"/>
      <c r="J653" s="175"/>
      <c r="K653" s="175"/>
      <c r="L653" s="175"/>
      <c r="M653" s="175"/>
      <c r="N653" s="175"/>
      <c r="O653" s="175"/>
      <c r="P653" s="175"/>
    </row>
    <row r="654">
      <c r="A654" s="175"/>
      <c r="B654" s="175"/>
      <c r="C654" s="175"/>
      <c r="D654" s="175"/>
      <c r="E654" s="175"/>
      <c r="F654" s="175"/>
      <c r="G654" s="175"/>
      <c r="H654" s="175"/>
      <c r="I654" s="175"/>
      <c r="J654" s="175"/>
      <c r="K654" s="175"/>
      <c r="L654" s="175"/>
      <c r="M654" s="175"/>
      <c r="N654" s="175"/>
      <c r="O654" s="175"/>
      <c r="P654" s="175"/>
    </row>
    <row r="655">
      <c r="A655" s="175"/>
      <c r="B655" s="175"/>
      <c r="C655" s="175"/>
      <c r="D655" s="175"/>
      <c r="E655" s="175"/>
      <c r="F655" s="175"/>
      <c r="G655" s="175"/>
      <c r="H655" s="175"/>
      <c r="I655" s="175"/>
      <c r="J655" s="175"/>
      <c r="K655" s="175"/>
      <c r="L655" s="175"/>
      <c r="M655" s="175"/>
      <c r="N655" s="175"/>
      <c r="O655" s="175"/>
      <c r="P655" s="175"/>
    </row>
    <row r="656">
      <c r="A656" s="175"/>
      <c r="B656" s="175"/>
      <c r="C656" s="175"/>
      <c r="D656" s="175"/>
      <c r="E656" s="175"/>
      <c r="F656" s="175"/>
      <c r="G656" s="175"/>
      <c r="H656" s="175"/>
      <c r="I656" s="175"/>
      <c r="J656" s="175"/>
      <c r="K656" s="175"/>
      <c r="L656" s="175"/>
      <c r="M656" s="175"/>
      <c r="N656" s="175"/>
      <c r="O656" s="175"/>
      <c r="P656" s="175"/>
    </row>
    <row r="657">
      <c r="A657" s="175"/>
      <c r="B657" s="175"/>
      <c r="C657" s="175"/>
      <c r="D657" s="175"/>
      <c r="E657" s="175"/>
      <c r="F657" s="175"/>
      <c r="G657" s="175"/>
      <c r="H657" s="175"/>
      <c r="I657" s="175"/>
      <c r="J657" s="175"/>
      <c r="K657" s="175"/>
      <c r="L657" s="175"/>
      <c r="M657" s="175"/>
      <c r="N657" s="175"/>
      <c r="O657" s="175"/>
      <c r="P657" s="175"/>
    </row>
    <row r="658">
      <c r="A658" s="175"/>
      <c r="B658" s="175"/>
      <c r="C658" s="175"/>
      <c r="D658" s="175"/>
      <c r="E658" s="175"/>
      <c r="F658" s="175"/>
      <c r="G658" s="175"/>
      <c r="H658" s="175"/>
      <c r="I658" s="175"/>
      <c r="J658" s="175"/>
      <c r="K658" s="175"/>
      <c r="L658" s="175"/>
      <c r="M658" s="175"/>
      <c r="N658" s="175"/>
      <c r="O658" s="175"/>
      <c r="P658" s="175"/>
    </row>
    <row r="659">
      <c r="A659" s="175"/>
      <c r="B659" s="175"/>
      <c r="C659" s="175"/>
      <c r="D659" s="175"/>
      <c r="E659" s="175"/>
      <c r="F659" s="175"/>
      <c r="G659" s="175"/>
      <c r="H659" s="175"/>
      <c r="I659" s="175"/>
      <c r="J659" s="175"/>
      <c r="K659" s="175"/>
      <c r="L659" s="175"/>
      <c r="M659" s="175"/>
      <c r="N659" s="175"/>
      <c r="O659" s="175"/>
      <c r="P659" s="175"/>
    </row>
    <row r="660">
      <c r="A660" s="175"/>
      <c r="B660" s="175"/>
      <c r="C660" s="175"/>
      <c r="D660" s="175"/>
      <c r="E660" s="175"/>
      <c r="F660" s="175"/>
      <c r="G660" s="175"/>
      <c r="H660" s="175"/>
      <c r="I660" s="175"/>
      <c r="J660" s="175"/>
      <c r="K660" s="175"/>
      <c r="L660" s="175"/>
      <c r="M660" s="175"/>
      <c r="N660" s="175"/>
      <c r="O660" s="175"/>
      <c r="P660" s="175"/>
    </row>
    <row r="661">
      <c r="A661" s="175"/>
      <c r="B661" s="175"/>
      <c r="C661" s="175"/>
      <c r="D661" s="175"/>
      <c r="E661" s="175"/>
      <c r="F661" s="175"/>
      <c r="G661" s="175"/>
      <c r="H661" s="175"/>
      <c r="I661" s="175"/>
      <c r="J661" s="175"/>
      <c r="K661" s="175"/>
      <c r="L661" s="175"/>
      <c r="M661" s="175"/>
      <c r="N661" s="175"/>
      <c r="O661" s="175"/>
      <c r="P661" s="175"/>
    </row>
    <row r="662">
      <c r="A662" s="175"/>
      <c r="B662" s="175"/>
      <c r="C662" s="175"/>
      <c r="D662" s="175"/>
      <c r="E662" s="175"/>
      <c r="F662" s="175"/>
      <c r="G662" s="175"/>
      <c r="H662" s="175"/>
      <c r="I662" s="175"/>
      <c r="J662" s="175"/>
      <c r="K662" s="175"/>
      <c r="L662" s="175"/>
      <c r="M662" s="175"/>
      <c r="N662" s="175"/>
      <c r="O662" s="175"/>
      <c r="P662" s="175"/>
    </row>
    <row r="663">
      <c r="A663" s="175"/>
      <c r="B663" s="175"/>
      <c r="C663" s="175"/>
      <c r="D663" s="175"/>
      <c r="E663" s="175"/>
      <c r="F663" s="175"/>
      <c r="G663" s="175"/>
      <c r="H663" s="175"/>
      <c r="I663" s="175"/>
      <c r="J663" s="175"/>
      <c r="K663" s="175"/>
      <c r="L663" s="175"/>
      <c r="M663" s="175"/>
      <c r="N663" s="175"/>
      <c r="O663" s="175"/>
      <c r="P663" s="175"/>
    </row>
    <row r="664">
      <c r="A664" s="175"/>
      <c r="B664" s="175"/>
      <c r="C664" s="175"/>
      <c r="D664" s="175"/>
      <c r="E664" s="175"/>
      <c r="F664" s="175"/>
      <c r="G664" s="175"/>
      <c r="H664" s="175"/>
      <c r="I664" s="175"/>
      <c r="J664" s="175"/>
      <c r="K664" s="175"/>
      <c r="L664" s="175"/>
      <c r="M664" s="175"/>
      <c r="N664" s="175"/>
      <c r="O664" s="175"/>
      <c r="P664" s="175"/>
    </row>
    <row r="665">
      <c r="A665" s="175"/>
      <c r="B665" s="175"/>
      <c r="C665" s="175"/>
      <c r="D665" s="175"/>
      <c r="E665" s="175"/>
      <c r="F665" s="175"/>
      <c r="G665" s="175"/>
      <c r="H665" s="175"/>
      <c r="I665" s="175"/>
      <c r="J665" s="175"/>
      <c r="K665" s="175"/>
      <c r="L665" s="175"/>
      <c r="M665" s="175"/>
      <c r="N665" s="175"/>
      <c r="O665" s="175"/>
      <c r="P665" s="175"/>
    </row>
    <row r="666">
      <c r="A666" s="175"/>
      <c r="B666" s="175"/>
      <c r="C666" s="175"/>
      <c r="D666" s="175"/>
      <c r="E666" s="175"/>
      <c r="F666" s="175"/>
      <c r="G666" s="175"/>
      <c r="H666" s="175"/>
      <c r="I666" s="175"/>
      <c r="J666" s="175"/>
      <c r="K666" s="175"/>
      <c r="L666" s="175"/>
      <c r="M666" s="175"/>
      <c r="N666" s="175"/>
      <c r="O666" s="175"/>
      <c r="P666" s="175"/>
    </row>
    <row r="667">
      <c r="A667" s="175"/>
      <c r="B667" s="175"/>
      <c r="C667" s="175"/>
      <c r="D667" s="175"/>
      <c r="E667" s="175"/>
      <c r="F667" s="175"/>
      <c r="G667" s="175"/>
      <c r="H667" s="175"/>
      <c r="I667" s="175"/>
      <c r="J667" s="175"/>
      <c r="K667" s="175"/>
      <c r="L667" s="175"/>
      <c r="M667" s="175"/>
      <c r="N667" s="175"/>
      <c r="O667" s="175"/>
      <c r="P667" s="175"/>
    </row>
    <row r="668">
      <c r="A668" s="175"/>
      <c r="B668" s="175"/>
      <c r="C668" s="175"/>
      <c r="D668" s="175"/>
      <c r="E668" s="175"/>
      <c r="F668" s="175"/>
      <c r="G668" s="175"/>
      <c r="H668" s="175"/>
      <c r="I668" s="175"/>
      <c r="J668" s="175"/>
      <c r="K668" s="175"/>
      <c r="L668" s="175"/>
      <c r="M668" s="175"/>
      <c r="N668" s="175"/>
      <c r="O668" s="175"/>
      <c r="P668" s="175"/>
    </row>
    <row r="669">
      <c r="A669" s="175"/>
      <c r="B669" s="175"/>
      <c r="C669" s="175"/>
      <c r="D669" s="175"/>
      <c r="E669" s="175"/>
      <c r="F669" s="175"/>
      <c r="G669" s="175"/>
      <c r="H669" s="175"/>
      <c r="I669" s="175"/>
      <c r="J669" s="175"/>
      <c r="K669" s="175"/>
      <c r="L669" s="175"/>
      <c r="M669" s="175"/>
      <c r="N669" s="175"/>
      <c r="O669" s="175"/>
      <c r="P669" s="175"/>
    </row>
    <row r="670">
      <c r="A670" s="175"/>
      <c r="B670" s="175"/>
      <c r="C670" s="175"/>
      <c r="D670" s="175"/>
      <c r="E670" s="175"/>
      <c r="F670" s="175"/>
      <c r="G670" s="175"/>
      <c r="H670" s="175"/>
      <c r="I670" s="175"/>
      <c r="J670" s="175"/>
      <c r="K670" s="175"/>
      <c r="L670" s="175"/>
      <c r="M670" s="175"/>
      <c r="N670" s="175"/>
      <c r="O670" s="175"/>
      <c r="P670" s="175"/>
    </row>
    <row r="671">
      <c r="A671" s="175"/>
      <c r="B671" s="175"/>
      <c r="C671" s="175"/>
      <c r="D671" s="175"/>
      <c r="E671" s="175"/>
      <c r="F671" s="175"/>
      <c r="G671" s="175"/>
      <c r="H671" s="175"/>
      <c r="I671" s="175"/>
      <c r="J671" s="175"/>
      <c r="K671" s="175"/>
      <c r="L671" s="175"/>
      <c r="M671" s="175"/>
      <c r="N671" s="175"/>
      <c r="O671" s="175"/>
      <c r="P671" s="175"/>
    </row>
    <row r="672">
      <c r="A672" s="175"/>
      <c r="B672" s="175"/>
      <c r="C672" s="175"/>
      <c r="D672" s="175"/>
      <c r="E672" s="175"/>
      <c r="F672" s="175"/>
      <c r="G672" s="175"/>
      <c r="H672" s="175"/>
      <c r="I672" s="175"/>
      <c r="J672" s="175"/>
      <c r="K672" s="175"/>
      <c r="L672" s="175"/>
      <c r="M672" s="175"/>
      <c r="N672" s="175"/>
      <c r="O672" s="175"/>
      <c r="P672" s="175"/>
    </row>
    <row r="673">
      <c r="A673" s="175"/>
      <c r="B673" s="175"/>
      <c r="C673" s="175"/>
      <c r="D673" s="175"/>
      <c r="E673" s="175"/>
      <c r="F673" s="175"/>
      <c r="G673" s="175"/>
      <c r="H673" s="175"/>
      <c r="I673" s="175"/>
      <c r="J673" s="175"/>
      <c r="K673" s="175"/>
      <c r="L673" s="175"/>
      <c r="M673" s="175"/>
      <c r="N673" s="175"/>
      <c r="O673" s="175"/>
      <c r="P673" s="175"/>
    </row>
    <row r="674">
      <c r="A674" s="175"/>
      <c r="B674" s="175"/>
      <c r="C674" s="175"/>
      <c r="D674" s="175"/>
      <c r="E674" s="175"/>
      <c r="F674" s="175"/>
      <c r="G674" s="175"/>
      <c r="H674" s="175"/>
      <c r="I674" s="175"/>
      <c r="J674" s="175"/>
      <c r="K674" s="175"/>
      <c r="L674" s="175"/>
      <c r="M674" s="175"/>
      <c r="N674" s="175"/>
      <c r="O674" s="175"/>
      <c r="P674" s="175"/>
    </row>
    <row r="675">
      <c r="A675" s="175"/>
      <c r="B675" s="175"/>
      <c r="C675" s="175"/>
      <c r="D675" s="175"/>
      <c r="E675" s="175"/>
      <c r="F675" s="175"/>
      <c r="G675" s="175"/>
      <c r="H675" s="175"/>
      <c r="I675" s="175"/>
      <c r="J675" s="175"/>
      <c r="K675" s="175"/>
      <c r="L675" s="175"/>
      <c r="M675" s="175"/>
      <c r="N675" s="175"/>
      <c r="O675" s="175"/>
      <c r="P675" s="175"/>
    </row>
    <row r="676">
      <c r="A676" s="175"/>
      <c r="B676" s="175"/>
      <c r="C676" s="175"/>
      <c r="D676" s="175"/>
      <c r="E676" s="175"/>
      <c r="F676" s="175"/>
      <c r="G676" s="175"/>
      <c r="H676" s="175"/>
      <c r="I676" s="175"/>
      <c r="J676" s="175"/>
      <c r="K676" s="175"/>
      <c r="L676" s="175"/>
      <c r="M676" s="175"/>
      <c r="N676" s="175"/>
      <c r="O676" s="175"/>
      <c r="P676" s="175"/>
    </row>
    <row r="677">
      <c r="A677" s="175"/>
      <c r="B677" s="175"/>
      <c r="C677" s="175"/>
      <c r="D677" s="175"/>
      <c r="E677" s="175"/>
      <c r="F677" s="175"/>
      <c r="G677" s="175"/>
      <c r="H677" s="175"/>
      <c r="I677" s="175"/>
      <c r="J677" s="175"/>
      <c r="K677" s="175"/>
      <c r="L677" s="175"/>
      <c r="M677" s="175"/>
      <c r="N677" s="175"/>
      <c r="O677" s="175"/>
      <c r="P677" s="175"/>
    </row>
    <row r="678">
      <c r="A678" s="175"/>
      <c r="B678" s="175"/>
      <c r="C678" s="175"/>
      <c r="D678" s="175"/>
      <c r="E678" s="175"/>
      <c r="F678" s="175"/>
      <c r="G678" s="175"/>
      <c r="H678" s="175"/>
      <c r="I678" s="175"/>
      <c r="J678" s="175"/>
      <c r="K678" s="175"/>
      <c r="L678" s="175"/>
      <c r="M678" s="175"/>
      <c r="N678" s="175"/>
      <c r="O678" s="175"/>
      <c r="P678" s="175"/>
    </row>
    <row r="679">
      <c r="A679" s="175"/>
      <c r="B679" s="175"/>
      <c r="C679" s="175"/>
      <c r="D679" s="175"/>
      <c r="E679" s="175"/>
      <c r="F679" s="175"/>
      <c r="G679" s="175"/>
      <c r="H679" s="175"/>
      <c r="I679" s="175"/>
      <c r="J679" s="175"/>
      <c r="K679" s="175"/>
      <c r="L679" s="175"/>
      <c r="M679" s="175"/>
      <c r="N679" s="175"/>
      <c r="O679" s="175"/>
      <c r="P679" s="175"/>
    </row>
    <row r="680">
      <c r="A680" s="175"/>
      <c r="B680" s="175"/>
      <c r="C680" s="175"/>
      <c r="D680" s="175"/>
      <c r="E680" s="175"/>
      <c r="F680" s="175"/>
      <c r="G680" s="175"/>
      <c r="H680" s="175"/>
      <c r="I680" s="175"/>
      <c r="J680" s="175"/>
      <c r="K680" s="175"/>
      <c r="L680" s="175"/>
      <c r="M680" s="175"/>
      <c r="N680" s="175"/>
      <c r="O680" s="175"/>
      <c r="P680" s="175"/>
    </row>
    <row r="681">
      <c r="A681" s="175"/>
      <c r="B681" s="175"/>
      <c r="C681" s="175"/>
      <c r="D681" s="175"/>
      <c r="E681" s="175"/>
      <c r="F681" s="175"/>
      <c r="G681" s="175"/>
      <c r="H681" s="175"/>
      <c r="I681" s="175"/>
      <c r="J681" s="175"/>
      <c r="K681" s="175"/>
      <c r="L681" s="175"/>
      <c r="M681" s="175"/>
      <c r="N681" s="175"/>
      <c r="O681" s="175"/>
      <c r="P681" s="175"/>
    </row>
    <row r="682">
      <c r="A682" s="175"/>
      <c r="B682" s="175"/>
      <c r="C682" s="175"/>
      <c r="D682" s="175"/>
      <c r="E682" s="175"/>
      <c r="F682" s="175"/>
      <c r="G682" s="175"/>
      <c r="H682" s="175"/>
      <c r="I682" s="175"/>
      <c r="J682" s="175"/>
      <c r="K682" s="175"/>
      <c r="L682" s="175"/>
      <c r="M682" s="175"/>
      <c r="N682" s="175"/>
      <c r="O682" s="175"/>
      <c r="P682" s="175"/>
    </row>
    <row r="683">
      <c r="A683" s="175"/>
      <c r="B683" s="175"/>
      <c r="C683" s="175"/>
      <c r="D683" s="175"/>
      <c r="E683" s="175"/>
      <c r="F683" s="175"/>
      <c r="G683" s="175"/>
      <c r="H683" s="175"/>
      <c r="I683" s="175"/>
      <c r="J683" s="175"/>
      <c r="K683" s="175"/>
      <c r="L683" s="175"/>
      <c r="M683" s="175"/>
      <c r="N683" s="175"/>
      <c r="O683" s="175"/>
      <c r="P683" s="175"/>
    </row>
    <row r="684">
      <c r="A684" s="175"/>
      <c r="B684" s="175"/>
      <c r="C684" s="175"/>
      <c r="D684" s="175"/>
      <c r="E684" s="175"/>
      <c r="F684" s="175"/>
      <c r="G684" s="175"/>
      <c r="H684" s="175"/>
      <c r="I684" s="175"/>
      <c r="J684" s="175"/>
      <c r="K684" s="175"/>
      <c r="L684" s="175"/>
      <c r="M684" s="175"/>
      <c r="N684" s="175"/>
      <c r="O684" s="175"/>
      <c r="P684" s="175"/>
    </row>
    <row r="685">
      <c r="A685" s="175"/>
      <c r="B685" s="175"/>
      <c r="C685" s="175"/>
      <c r="D685" s="175"/>
      <c r="E685" s="175"/>
      <c r="F685" s="175"/>
      <c r="G685" s="175"/>
      <c r="H685" s="175"/>
      <c r="I685" s="175"/>
      <c r="J685" s="175"/>
      <c r="K685" s="175"/>
      <c r="L685" s="175"/>
      <c r="M685" s="175"/>
      <c r="N685" s="175"/>
      <c r="O685" s="175"/>
      <c r="P685" s="175"/>
    </row>
    <row r="686">
      <c r="A686" s="175"/>
      <c r="B686" s="175"/>
      <c r="C686" s="175"/>
      <c r="D686" s="175"/>
      <c r="E686" s="175"/>
      <c r="F686" s="175"/>
      <c r="G686" s="175"/>
      <c r="H686" s="175"/>
      <c r="I686" s="175"/>
      <c r="J686" s="175"/>
      <c r="K686" s="175"/>
      <c r="L686" s="175"/>
      <c r="M686" s="175"/>
      <c r="N686" s="175"/>
      <c r="O686" s="175"/>
      <c r="P686" s="175"/>
    </row>
    <row r="687">
      <c r="A687" s="175"/>
      <c r="B687" s="175"/>
      <c r="C687" s="175"/>
      <c r="D687" s="175"/>
      <c r="E687" s="175"/>
      <c r="F687" s="175"/>
      <c r="G687" s="175"/>
      <c r="H687" s="175"/>
      <c r="I687" s="175"/>
      <c r="J687" s="175"/>
      <c r="K687" s="175"/>
      <c r="L687" s="175"/>
      <c r="M687" s="175"/>
      <c r="N687" s="175"/>
      <c r="O687" s="175"/>
      <c r="P687" s="175"/>
    </row>
    <row r="688">
      <c r="A688" s="175"/>
      <c r="B688" s="175"/>
      <c r="C688" s="175"/>
      <c r="D688" s="175"/>
      <c r="E688" s="175"/>
      <c r="F688" s="175"/>
      <c r="G688" s="175"/>
      <c r="H688" s="175"/>
      <c r="I688" s="175"/>
      <c r="J688" s="175"/>
      <c r="K688" s="175"/>
      <c r="L688" s="175"/>
      <c r="M688" s="175"/>
      <c r="N688" s="175"/>
      <c r="O688" s="175"/>
      <c r="P688" s="175"/>
    </row>
    <row r="689">
      <c r="A689" s="175"/>
      <c r="B689" s="175"/>
      <c r="C689" s="175"/>
      <c r="D689" s="175"/>
      <c r="E689" s="175"/>
      <c r="F689" s="175"/>
      <c r="G689" s="175"/>
      <c r="H689" s="175"/>
      <c r="I689" s="175"/>
      <c r="J689" s="175"/>
      <c r="K689" s="175"/>
      <c r="L689" s="175"/>
      <c r="M689" s="175"/>
      <c r="N689" s="175"/>
      <c r="O689" s="175"/>
      <c r="P689" s="175"/>
    </row>
    <row r="690">
      <c r="A690" s="175"/>
      <c r="B690" s="175"/>
      <c r="C690" s="175"/>
      <c r="D690" s="175"/>
      <c r="E690" s="175"/>
      <c r="F690" s="175"/>
      <c r="G690" s="175"/>
      <c r="H690" s="175"/>
      <c r="I690" s="175"/>
      <c r="J690" s="175"/>
      <c r="K690" s="175"/>
      <c r="L690" s="175"/>
      <c r="M690" s="175"/>
      <c r="N690" s="175"/>
      <c r="O690" s="175"/>
      <c r="P690" s="175"/>
    </row>
    <row r="691">
      <c r="A691" s="175"/>
      <c r="B691" s="175"/>
      <c r="C691" s="175"/>
      <c r="D691" s="175"/>
      <c r="E691" s="175"/>
      <c r="F691" s="175"/>
      <c r="G691" s="175"/>
      <c r="H691" s="175"/>
      <c r="I691" s="175"/>
      <c r="J691" s="175"/>
      <c r="K691" s="175"/>
      <c r="L691" s="175"/>
      <c r="M691" s="175"/>
      <c r="N691" s="175"/>
      <c r="O691" s="175"/>
      <c r="P691" s="175"/>
    </row>
    <row r="692">
      <c r="A692" s="175"/>
      <c r="B692" s="175"/>
      <c r="C692" s="175"/>
      <c r="D692" s="175"/>
      <c r="E692" s="175"/>
      <c r="F692" s="175"/>
      <c r="G692" s="175"/>
      <c r="H692" s="175"/>
      <c r="I692" s="175"/>
      <c r="J692" s="175"/>
      <c r="K692" s="175"/>
      <c r="L692" s="175"/>
      <c r="M692" s="175"/>
      <c r="N692" s="175"/>
      <c r="O692" s="175"/>
      <c r="P692" s="175"/>
    </row>
    <row r="693">
      <c r="A693" s="175"/>
      <c r="B693" s="175"/>
      <c r="C693" s="175"/>
      <c r="D693" s="175"/>
      <c r="E693" s="175"/>
      <c r="F693" s="175"/>
      <c r="G693" s="175"/>
      <c r="H693" s="175"/>
      <c r="I693" s="175"/>
      <c r="J693" s="175"/>
      <c r="K693" s="175"/>
      <c r="L693" s="175"/>
      <c r="M693" s="175"/>
      <c r="N693" s="175"/>
      <c r="O693" s="175"/>
      <c r="P693" s="175"/>
    </row>
    <row r="694">
      <c r="A694" s="175"/>
      <c r="B694" s="175"/>
      <c r="C694" s="175"/>
      <c r="D694" s="175"/>
      <c r="E694" s="175"/>
      <c r="F694" s="175"/>
      <c r="G694" s="175"/>
      <c r="H694" s="175"/>
      <c r="I694" s="175"/>
      <c r="J694" s="175"/>
      <c r="K694" s="175"/>
      <c r="L694" s="175"/>
      <c r="M694" s="175"/>
      <c r="N694" s="175"/>
      <c r="O694" s="175"/>
      <c r="P694" s="175"/>
    </row>
    <row r="695">
      <c r="A695" s="175"/>
      <c r="B695" s="175"/>
      <c r="C695" s="175"/>
      <c r="D695" s="175"/>
      <c r="E695" s="175"/>
      <c r="F695" s="175"/>
      <c r="G695" s="175"/>
      <c r="H695" s="175"/>
      <c r="I695" s="175"/>
      <c r="J695" s="175"/>
      <c r="K695" s="175"/>
      <c r="L695" s="175"/>
      <c r="M695" s="175"/>
      <c r="N695" s="175"/>
      <c r="O695" s="175"/>
      <c r="P695" s="175"/>
    </row>
    <row r="696">
      <c r="A696" s="175"/>
      <c r="B696" s="175"/>
      <c r="C696" s="175"/>
      <c r="D696" s="175"/>
      <c r="E696" s="175"/>
      <c r="F696" s="175"/>
      <c r="G696" s="175"/>
      <c r="H696" s="175"/>
      <c r="I696" s="175"/>
      <c r="J696" s="175"/>
      <c r="K696" s="175"/>
      <c r="L696" s="175"/>
      <c r="M696" s="175"/>
      <c r="N696" s="175"/>
      <c r="O696" s="175"/>
      <c r="P696" s="175"/>
    </row>
    <row r="697">
      <c r="A697" s="175"/>
      <c r="B697" s="175"/>
      <c r="C697" s="175"/>
      <c r="D697" s="175"/>
      <c r="E697" s="175"/>
      <c r="F697" s="175"/>
      <c r="G697" s="175"/>
      <c r="H697" s="175"/>
      <c r="I697" s="175"/>
      <c r="J697" s="175"/>
      <c r="K697" s="175"/>
      <c r="L697" s="175"/>
      <c r="M697" s="175"/>
      <c r="N697" s="175"/>
      <c r="O697" s="175"/>
      <c r="P697" s="175"/>
    </row>
    <row r="698">
      <c r="A698" s="175"/>
      <c r="B698" s="175"/>
      <c r="C698" s="175"/>
      <c r="D698" s="175"/>
      <c r="E698" s="175"/>
      <c r="F698" s="175"/>
      <c r="G698" s="175"/>
      <c r="H698" s="175"/>
      <c r="I698" s="175"/>
      <c r="J698" s="175"/>
      <c r="K698" s="175"/>
      <c r="L698" s="175"/>
      <c r="M698" s="175"/>
      <c r="N698" s="175"/>
      <c r="O698" s="175"/>
      <c r="P698" s="175"/>
    </row>
    <row r="699">
      <c r="A699" s="175"/>
      <c r="B699" s="175"/>
      <c r="C699" s="175"/>
      <c r="D699" s="175"/>
      <c r="E699" s="175"/>
      <c r="F699" s="175"/>
      <c r="G699" s="175"/>
      <c r="H699" s="175"/>
      <c r="I699" s="175"/>
      <c r="J699" s="175"/>
      <c r="K699" s="175"/>
      <c r="L699" s="175"/>
      <c r="M699" s="175"/>
      <c r="N699" s="175"/>
      <c r="O699" s="175"/>
      <c r="P699" s="175"/>
    </row>
    <row r="700">
      <c r="A700" s="175"/>
      <c r="B700" s="175"/>
      <c r="C700" s="175"/>
      <c r="D700" s="175"/>
      <c r="E700" s="175"/>
      <c r="F700" s="175"/>
      <c r="G700" s="175"/>
      <c r="H700" s="175"/>
      <c r="I700" s="175"/>
      <c r="J700" s="175"/>
      <c r="K700" s="175"/>
      <c r="L700" s="175"/>
      <c r="M700" s="175"/>
      <c r="N700" s="175"/>
      <c r="O700" s="175"/>
      <c r="P700" s="175"/>
    </row>
    <row r="701">
      <c r="A701" s="175"/>
      <c r="B701" s="175"/>
      <c r="C701" s="175"/>
      <c r="D701" s="175"/>
      <c r="E701" s="175"/>
      <c r="F701" s="175"/>
      <c r="G701" s="175"/>
      <c r="H701" s="175"/>
      <c r="I701" s="175"/>
      <c r="J701" s="175"/>
      <c r="K701" s="175"/>
      <c r="L701" s="175"/>
      <c r="M701" s="175"/>
      <c r="N701" s="175"/>
      <c r="O701" s="175"/>
      <c r="P701" s="175"/>
    </row>
    <row r="702">
      <c r="A702" s="175"/>
      <c r="B702" s="175"/>
      <c r="C702" s="175"/>
      <c r="D702" s="175"/>
      <c r="E702" s="175"/>
      <c r="F702" s="175"/>
      <c r="G702" s="175"/>
      <c r="H702" s="175"/>
      <c r="I702" s="175"/>
      <c r="J702" s="175"/>
      <c r="K702" s="175"/>
      <c r="L702" s="175"/>
      <c r="M702" s="175"/>
      <c r="N702" s="175"/>
      <c r="O702" s="175"/>
      <c r="P702" s="175"/>
    </row>
    <row r="703">
      <c r="A703" s="175"/>
      <c r="B703" s="175"/>
      <c r="C703" s="175"/>
      <c r="D703" s="175"/>
      <c r="E703" s="175"/>
      <c r="F703" s="175"/>
      <c r="G703" s="175"/>
      <c r="H703" s="175"/>
      <c r="I703" s="175"/>
      <c r="J703" s="175"/>
      <c r="K703" s="175"/>
      <c r="L703" s="175"/>
      <c r="M703" s="175"/>
      <c r="N703" s="175"/>
      <c r="O703" s="175"/>
      <c r="P703" s="175"/>
    </row>
    <row r="704">
      <c r="A704" s="175"/>
      <c r="B704" s="175"/>
      <c r="C704" s="175"/>
      <c r="D704" s="175"/>
      <c r="E704" s="175"/>
      <c r="F704" s="175"/>
      <c r="G704" s="175"/>
      <c r="H704" s="175"/>
      <c r="I704" s="175"/>
      <c r="J704" s="175"/>
      <c r="K704" s="175"/>
      <c r="L704" s="175"/>
      <c r="M704" s="175"/>
      <c r="N704" s="175"/>
      <c r="O704" s="175"/>
      <c r="P704" s="175"/>
    </row>
    <row r="705">
      <c r="A705" s="175"/>
      <c r="B705" s="175"/>
      <c r="C705" s="175"/>
      <c r="D705" s="175"/>
      <c r="E705" s="175"/>
      <c r="F705" s="175"/>
      <c r="G705" s="175"/>
      <c r="H705" s="175"/>
      <c r="I705" s="175"/>
      <c r="J705" s="175"/>
      <c r="K705" s="175"/>
      <c r="L705" s="175"/>
      <c r="M705" s="175"/>
      <c r="N705" s="175"/>
      <c r="O705" s="175"/>
      <c r="P705" s="175"/>
    </row>
    <row r="706">
      <c r="A706" s="175"/>
      <c r="B706" s="175"/>
      <c r="C706" s="175"/>
      <c r="D706" s="175"/>
      <c r="E706" s="175"/>
      <c r="F706" s="175"/>
      <c r="G706" s="175"/>
      <c r="H706" s="175"/>
      <c r="I706" s="175"/>
      <c r="J706" s="175"/>
      <c r="K706" s="175"/>
      <c r="L706" s="175"/>
      <c r="M706" s="175"/>
      <c r="N706" s="175"/>
      <c r="O706" s="175"/>
      <c r="P706" s="175"/>
    </row>
    <row r="707">
      <c r="A707" s="175"/>
      <c r="B707" s="175"/>
      <c r="C707" s="175"/>
      <c r="D707" s="175"/>
      <c r="E707" s="175"/>
      <c r="F707" s="175"/>
      <c r="G707" s="175"/>
      <c r="H707" s="175"/>
      <c r="I707" s="175"/>
      <c r="J707" s="175"/>
      <c r="K707" s="175"/>
      <c r="L707" s="175"/>
      <c r="M707" s="175"/>
      <c r="N707" s="175"/>
      <c r="O707" s="175"/>
      <c r="P707" s="175"/>
    </row>
    <row r="708">
      <c r="A708" s="175"/>
      <c r="B708" s="175"/>
      <c r="C708" s="175"/>
      <c r="D708" s="175"/>
      <c r="E708" s="175"/>
      <c r="F708" s="175"/>
      <c r="G708" s="175"/>
      <c r="H708" s="175"/>
      <c r="I708" s="175"/>
      <c r="J708" s="175"/>
      <c r="K708" s="175"/>
      <c r="L708" s="175"/>
      <c r="M708" s="175"/>
      <c r="N708" s="175"/>
      <c r="O708" s="175"/>
      <c r="P708" s="175"/>
    </row>
    <row r="709">
      <c r="A709" s="175"/>
      <c r="B709" s="175"/>
      <c r="C709" s="175"/>
      <c r="D709" s="175"/>
      <c r="E709" s="175"/>
      <c r="F709" s="175"/>
      <c r="G709" s="175"/>
      <c r="H709" s="175"/>
      <c r="I709" s="175"/>
      <c r="J709" s="175"/>
      <c r="K709" s="175"/>
      <c r="L709" s="175"/>
      <c r="M709" s="175"/>
      <c r="N709" s="175"/>
      <c r="O709" s="175"/>
      <c r="P709" s="175"/>
    </row>
    <row r="710">
      <c r="A710" s="175"/>
      <c r="B710" s="175"/>
      <c r="C710" s="175"/>
      <c r="D710" s="175"/>
      <c r="E710" s="175"/>
      <c r="F710" s="175"/>
      <c r="G710" s="175"/>
      <c r="H710" s="175"/>
      <c r="I710" s="175"/>
      <c r="J710" s="175"/>
      <c r="K710" s="175"/>
      <c r="L710" s="175"/>
      <c r="M710" s="175"/>
      <c r="N710" s="175"/>
      <c r="O710" s="175"/>
      <c r="P710" s="175"/>
    </row>
    <row r="711">
      <c r="A711" s="175"/>
      <c r="B711" s="175"/>
      <c r="C711" s="175"/>
      <c r="D711" s="175"/>
      <c r="E711" s="175"/>
      <c r="F711" s="175"/>
      <c r="G711" s="175"/>
      <c r="H711" s="175"/>
      <c r="I711" s="175"/>
      <c r="J711" s="175"/>
      <c r="K711" s="175"/>
      <c r="L711" s="175"/>
      <c r="M711" s="175"/>
      <c r="N711" s="175"/>
      <c r="O711" s="175"/>
      <c r="P711" s="175"/>
    </row>
    <row r="712">
      <c r="A712" s="175"/>
      <c r="B712" s="175"/>
      <c r="C712" s="175"/>
      <c r="D712" s="175"/>
      <c r="E712" s="175"/>
      <c r="F712" s="175"/>
      <c r="G712" s="175"/>
      <c r="H712" s="175"/>
      <c r="I712" s="175"/>
      <c r="J712" s="175"/>
      <c r="K712" s="175"/>
      <c r="L712" s="175"/>
      <c r="M712" s="175"/>
      <c r="N712" s="175"/>
      <c r="O712" s="175"/>
      <c r="P712" s="175"/>
    </row>
    <row r="713">
      <c r="A713" s="175"/>
      <c r="B713" s="175"/>
      <c r="C713" s="175"/>
      <c r="D713" s="175"/>
      <c r="E713" s="175"/>
      <c r="F713" s="175"/>
      <c r="G713" s="175"/>
      <c r="H713" s="175"/>
      <c r="I713" s="175"/>
      <c r="J713" s="175"/>
      <c r="K713" s="175"/>
      <c r="L713" s="175"/>
      <c r="M713" s="175"/>
      <c r="N713" s="175"/>
      <c r="O713" s="175"/>
      <c r="P713" s="175"/>
    </row>
    <row r="714">
      <c r="A714" s="175"/>
      <c r="B714" s="175"/>
      <c r="C714" s="175"/>
      <c r="D714" s="175"/>
      <c r="E714" s="175"/>
      <c r="F714" s="175"/>
      <c r="G714" s="175"/>
      <c r="H714" s="175"/>
      <c r="I714" s="175"/>
      <c r="J714" s="175"/>
      <c r="K714" s="175"/>
      <c r="L714" s="175"/>
      <c r="M714" s="175"/>
      <c r="N714" s="175"/>
      <c r="O714" s="175"/>
      <c r="P714" s="175"/>
    </row>
    <row r="715">
      <c r="A715" s="175"/>
      <c r="B715" s="175"/>
      <c r="C715" s="175"/>
      <c r="D715" s="175"/>
      <c r="E715" s="175"/>
      <c r="F715" s="175"/>
      <c r="G715" s="175"/>
      <c r="H715" s="175"/>
      <c r="I715" s="175"/>
      <c r="J715" s="175"/>
      <c r="K715" s="175"/>
      <c r="L715" s="175"/>
      <c r="M715" s="175"/>
      <c r="N715" s="175"/>
      <c r="O715" s="175"/>
      <c r="P715" s="175"/>
    </row>
    <row r="716">
      <c r="A716" s="175"/>
      <c r="B716" s="175"/>
      <c r="C716" s="175"/>
      <c r="D716" s="175"/>
      <c r="E716" s="175"/>
      <c r="F716" s="175"/>
      <c r="G716" s="175"/>
      <c r="H716" s="175"/>
      <c r="I716" s="175"/>
      <c r="J716" s="175"/>
      <c r="K716" s="175"/>
      <c r="L716" s="175"/>
      <c r="M716" s="175"/>
      <c r="N716" s="175"/>
      <c r="O716" s="175"/>
      <c r="P716" s="175"/>
    </row>
    <row r="717">
      <c r="A717" s="175"/>
      <c r="B717" s="175"/>
      <c r="C717" s="175"/>
      <c r="D717" s="175"/>
      <c r="E717" s="175"/>
      <c r="F717" s="175"/>
      <c r="G717" s="175"/>
      <c r="H717" s="175"/>
      <c r="I717" s="175"/>
      <c r="J717" s="175"/>
      <c r="K717" s="175"/>
      <c r="L717" s="175"/>
      <c r="M717" s="175"/>
      <c r="N717" s="175"/>
      <c r="O717" s="175"/>
      <c r="P717" s="175"/>
    </row>
    <row r="718">
      <c r="A718" s="175"/>
      <c r="B718" s="175"/>
      <c r="C718" s="175"/>
      <c r="D718" s="175"/>
      <c r="E718" s="175"/>
      <c r="F718" s="175"/>
      <c r="G718" s="175"/>
      <c r="H718" s="175"/>
      <c r="I718" s="175"/>
      <c r="J718" s="175"/>
      <c r="K718" s="175"/>
      <c r="L718" s="175"/>
      <c r="M718" s="175"/>
      <c r="N718" s="175"/>
      <c r="O718" s="175"/>
      <c r="P718" s="175"/>
    </row>
    <row r="719">
      <c r="A719" s="175"/>
      <c r="B719" s="175"/>
      <c r="C719" s="175"/>
      <c r="D719" s="175"/>
      <c r="E719" s="175"/>
      <c r="F719" s="175"/>
      <c r="G719" s="175"/>
      <c r="H719" s="175"/>
      <c r="I719" s="175"/>
      <c r="J719" s="175"/>
      <c r="K719" s="175"/>
      <c r="L719" s="175"/>
      <c r="M719" s="175"/>
      <c r="N719" s="175"/>
      <c r="O719" s="175"/>
      <c r="P719" s="175"/>
    </row>
    <row r="720">
      <c r="A720" s="175"/>
      <c r="B720" s="175"/>
      <c r="C720" s="175"/>
      <c r="D720" s="175"/>
      <c r="E720" s="175"/>
      <c r="F720" s="175"/>
      <c r="G720" s="175"/>
      <c r="H720" s="175"/>
      <c r="I720" s="175"/>
      <c r="J720" s="175"/>
      <c r="K720" s="175"/>
      <c r="L720" s="175"/>
      <c r="M720" s="175"/>
      <c r="N720" s="175"/>
      <c r="O720" s="175"/>
      <c r="P720" s="175"/>
    </row>
    <row r="721">
      <c r="A721" s="175"/>
      <c r="B721" s="175"/>
      <c r="C721" s="175"/>
      <c r="D721" s="175"/>
      <c r="E721" s="175"/>
      <c r="F721" s="175"/>
      <c r="G721" s="175"/>
      <c r="H721" s="175"/>
      <c r="I721" s="175"/>
      <c r="J721" s="175"/>
      <c r="K721" s="175"/>
      <c r="L721" s="175"/>
      <c r="M721" s="175"/>
      <c r="N721" s="175"/>
      <c r="O721" s="175"/>
      <c r="P721" s="175"/>
    </row>
    <row r="722">
      <c r="A722" s="175"/>
      <c r="B722" s="175"/>
      <c r="C722" s="175"/>
      <c r="D722" s="175"/>
      <c r="E722" s="175"/>
      <c r="F722" s="175"/>
      <c r="G722" s="175"/>
      <c r="H722" s="175"/>
      <c r="I722" s="175"/>
      <c r="J722" s="175"/>
      <c r="K722" s="175"/>
      <c r="L722" s="175"/>
      <c r="M722" s="175"/>
      <c r="N722" s="175"/>
      <c r="O722" s="175"/>
      <c r="P722" s="175"/>
    </row>
    <row r="723">
      <c r="A723" s="175"/>
      <c r="B723" s="175"/>
      <c r="C723" s="175"/>
      <c r="D723" s="175"/>
      <c r="E723" s="175"/>
      <c r="F723" s="175"/>
      <c r="G723" s="175"/>
      <c r="H723" s="175"/>
      <c r="I723" s="175"/>
      <c r="J723" s="175"/>
      <c r="K723" s="175"/>
      <c r="L723" s="175"/>
      <c r="M723" s="175"/>
      <c r="N723" s="175"/>
      <c r="O723" s="175"/>
      <c r="P723" s="175"/>
    </row>
    <row r="724">
      <c r="A724" s="175"/>
      <c r="B724" s="175"/>
      <c r="C724" s="175"/>
      <c r="D724" s="175"/>
      <c r="E724" s="175"/>
      <c r="F724" s="175"/>
      <c r="G724" s="175"/>
      <c r="H724" s="175"/>
      <c r="I724" s="175"/>
      <c r="J724" s="175"/>
      <c r="K724" s="175"/>
      <c r="L724" s="175"/>
      <c r="M724" s="175"/>
      <c r="N724" s="175"/>
      <c r="O724" s="175"/>
      <c r="P724" s="175"/>
    </row>
    <row r="725">
      <c r="A725" s="175"/>
      <c r="B725" s="175"/>
      <c r="C725" s="175"/>
      <c r="D725" s="175"/>
      <c r="E725" s="175"/>
      <c r="F725" s="175"/>
      <c r="G725" s="175"/>
      <c r="H725" s="175"/>
      <c r="I725" s="175"/>
      <c r="J725" s="175"/>
      <c r="K725" s="175"/>
      <c r="L725" s="175"/>
      <c r="M725" s="175"/>
      <c r="N725" s="175"/>
      <c r="O725" s="175"/>
      <c r="P725" s="175"/>
    </row>
    <row r="726">
      <c r="A726" s="175"/>
      <c r="B726" s="175"/>
      <c r="C726" s="175"/>
      <c r="D726" s="175"/>
      <c r="E726" s="175"/>
      <c r="F726" s="175"/>
      <c r="G726" s="175"/>
      <c r="H726" s="175"/>
      <c r="I726" s="175"/>
      <c r="J726" s="175"/>
      <c r="K726" s="175"/>
      <c r="L726" s="175"/>
      <c r="M726" s="175"/>
      <c r="N726" s="175"/>
      <c r="O726" s="175"/>
      <c r="P726" s="175"/>
    </row>
    <row r="727">
      <c r="A727" s="175"/>
      <c r="B727" s="175"/>
      <c r="C727" s="175"/>
      <c r="D727" s="175"/>
      <c r="E727" s="175"/>
      <c r="F727" s="175"/>
      <c r="G727" s="175"/>
      <c r="H727" s="175"/>
      <c r="I727" s="175"/>
      <c r="J727" s="175"/>
      <c r="K727" s="175"/>
      <c r="L727" s="175"/>
      <c r="M727" s="175"/>
      <c r="N727" s="175"/>
      <c r="O727" s="175"/>
      <c r="P727" s="175"/>
    </row>
    <row r="728">
      <c r="A728" s="175"/>
      <c r="B728" s="175"/>
      <c r="C728" s="175"/>
      <c r="D728" s="175"/>
      <c r="E728" s="175"/>
      <c r="F728" s="175"/>
      <c r="G728" s="175"/>
      <c r="H728" s="175"/>
      <c r="I728" s="175"/>
      <c r="J728" s="175"/>
      <c r="K728" s="175"/>
      <c r="L728" s="175"/>
      <c r="M728" s="175"/>
      <c r="N728" s="175"/>
      <c r="O728" s="175"/>
      <c r="P728" s="175"/>
    </row>
    <row r="729">
      <c r="A729" s="175"/>
      <c r="B729" s="175"/>
      <c r="C729" s="175"/>
      <c r="D729" s="175"/>
      <c r="E729" s="175"/>
      <c r="F729" s="175"/>
      <c r="G729" s="175"/>
      <c r="H729" s="175"/>
      <c r="I729" s="175"/>
      <c r="J729" s="175"/>
      <c r="K729" s="175"/>
      <c r="L729" s="175"/>
      <c r="M729" s="175"/>
      <c r="N729" s="175"/>
      <c r="O729" s="175"/>
      <c r="P729" s="175"/>
    </row>
    <row r="730">
      <c r="A730" s="175"/>
      <c r="B730" s="175"/>
      <c r="C730" s="175"/>
      <c r="D730" s="175"/>
      <c r="E730" s="175"/>
      <c r="F730" s="175"/>
      <c r="G730" s="175"/>
      <c r="H730" s="175"/>
      <c r="I730" s="175"/>
      <c r="J730" s="175"/>
      <c r="K730" s="175"/>
      <c r="L730" s="175"/>
      <c r="M730" s="175"/>
      <c r="N730" s="175"/>
      <c r="O730" s="175"/>
      <c r="P730" s="175"/>
    </row>
    <row r="731">
      <c r="A731" s="175"/>
      <c r="B731" s="175"/>
      <c r="C731" s="175"/>
      <c r="D731" s="175"/>
      <c r="E731" s="175"/>
      <c r="F731" s="175"/>
      <c r="G731" s="175"/>
      <c r="H731" s="175"/>
      <c r="I731" s="175"/>
      <c r="J731" s="175"/>
      <c r="K731" s="175"/>
      <c r="L731" s="175"/>
      <c r="M731" s="175"/>
      <c r="N731" s="175"/>
      <c r="O731" s="175"/>
      <c r="P731" s="175"/>
    </row>
    <row r="732">
      <c r="A732" s="175"/>
      <c r="B732" s="175"/>
      <c r="C732" s="175"/>
      <c r="D732" s="175"/>
      <c r="E732" s="175"/>
      <c r="F732" s="175"/>
      <c r="G732" s="175"/>
      <c r="H732" s="175"/>
      <c r="I732" s="175"/>
      <c r="J732" s="175"/>
      <c r="K732" s="175"/>
      <c r="L732" s="175"/>
      <c r="M732" s="175"/>
      <c r="N732" s="175"/>
      <c r="O732" s="175"/>
      <c r="P732" s="175"/>
    </row>
    <row r="733">
      <c r="A733" s="175"/>
      <c r="B733" s="175"/>
      <c r="C733" s="175"/>
      <c r="D733" s="175"/>
      <c r="E733" s="175"/>
      <c r="F733" s="175"/>
      <c r="G733" s="175"/>
      <c r="H733" s="175"/>
      <c r="I733" s="175"/>
      <c r="J733" s="175"/>
      <c r="K733" s="175"/>
      <c r="L733" s="175"/>
      <c r="M733" s="175"/>
      <c r="N733" s="175"/>
      <c r="O733" s="175"/>
      <c r="P733" s="175"/>
    </row>
    <row r="734">
      <c r="A734" s="175"/>
      <c r="B734" s="175"/>
      <c r="C734" s="175"/>
      <c r="D734" s="175"/>
      <c r="E734" s="175"/>
      <c r="F734" s="175"/>
      <c r="G734" s="175"/>
      <c r="H734" s="175"/>
      <c r="I734" s="175"/>
      <c r="J734" s="175"/>
      <c r="K734" s="175"/>
      <c r="L734" s="175"/>
      <c r="M734" s="175"/>
      <c r="N734" s="175"/>
      <c r="O734" s="175"/>
      <c r="P734" s="175"/>
    </row>
    <row r="735">
      <c r="A735" s="175"/>
      <c r="B735" s="175"/>
      <c r="C735" s="175"/>
      <c r="D735" s="175"/>
      <c r="E735" s="175"/>
      <c r="F735" s="175"/>
      <c r="G735" s="175"/>
      <c r="H735" s="175"/>
      <c r="I735" s="175"/>
      <c r="J735" s="175"/>
      <c r="K735" s="175"/>
      <c r="L735" s="175"/>
      <c r="M735" s="175"/>
      <c r="N735" s="175"/>
      <c r="O735" s="175"/>
      <c r="P735" s="175"/>
    </row>
    <row r="736">
      <c r="A736" s="175"/>
      <c r="B736" s="175"/>
      <c r="C736" s="175"/>
      <c r="D736" s="175"/>
      <c r="E736" s="175"/>
      <c r="F736" s="175"/>
      <c r="G736" s="175"/>
      <c r="H736" s="175"/>
      <c r="I736" s="175"/>
      <c r="J736" s="175"/>
      <c r="K736" s="175"/>
      <c r="L736" s="175"/>
      <c r="M736" s="175"/>
      <c r="N736" s="175"/>
      <c r="O736" s="175"/>
      <c r="P736" s="175"/>
    </row>
    <row r="737">
      <c r="A737" s="175"/>
      <c r="B737" s="175"/>
      <c r="C737" s="175"/>
      <c r="D737" s="175"/>
      <c r="E737" s="175"/>
      <c r="F737" s="175"/>
      <c r="G737" s="175"/>
      <c r="H737" s="175"/>
      <c r="I737" s="175"/>
      <c r="J737" s="175"/>
      <c r="K737" s="175"/>
      <c r="L737" s="175"/>
      <c r="M737" s="175"/>
      <c r="N737" s="175"/>
      <c r="O737" s="175"/>
      <c r="P737" s="175"/>
    </row>
    <row r="738">
      <c r="A738" s="175"/>
      <c r="B738" s="175"/>
      <c r="C738" s="175"/>
      <c r="D738" s="175"/>
      <c r="E738" s="175"/>
      <c r="F738" s="175"/>
      <c r="G738" s="175"/>
      <c r="H738" s="175"/>
      <c r="I738" s="175"/>
      <c r="J738" s="175"/>
      <c r="K738" s="175"/>
      <c r="L738" s="175"/>
      <c r="M738" s="175"/>
      <c r="N738" s="175"/>
      <c r="O738" s="175"/>
      <c r="P738" s="175"/>
    </row>
    <row r="739">
      <c r="A739" s="175"/>
      <c r="B739" s="175"/>
      <c r="C739" s="175"/>
      <c r="D739" s="175"/>
      <c r="E739" s="175"/>
      <c r="F739" s="175"/>
      <c r="G739" s="175"/>
      <c r="H739" s="175"/>
      <c r="I739" s="175"/>
      <c r="J739" s="175"/>
      <c r="K739" s="175"/>
      <c r="L739" s="175"/>
      <c r="M739" s="175"/>
      <c r="N739" s="175"/>
      <c r="O739" s="175"/>
      <c r="P739" s="175"/>
    </row>
    <row r="740">
      <c r="A740" s="175"/>
      <c r="B740" s="175"/>
      <c r="C740" s="175"/>
      <c r="D740" s="175"/>
      <c r="E740" s="175"/>
      <c r="F740" s="175"/>
      <c r="G740" s="175"/>
      <c r="H740" s="175"/>
      <c r="I740" s="175"/>
      <c r="J740" s="175"/>
      <c r="K740" s="175"/>
      <c r="L740" s="175"/>
      <c r="M740" s="175"/>
      <c r="N740" s="175"/>
      <c r="O740" s="175"/>
      <c r="P740" s="175"/>
    </row>
    <row r="741">
      <c r="A741" s="175"/>
      <c r="B741" s="175"/>
      <c r="C741" s="175"/>
      <c r="D741" s="175"/>
      <c r="E741" s="175"/>
      <c r="F741" s="175"/>
      <c r="G741" s="175"/>
      <c r="H741" s="175"/>
      <c r="I741" s="175"/>
      <c r="J741" s="175"/>
      <c r="K741" s="175"/>
      <c r="L741" s="175"/>
      <c r="M741" s="175"/>
      <c r="N741" s="175"/>
      <c r="O741" s="175"/>
      <c r="P741" s="175"/>
    </row>
    <row r="742">
      <c r="A742" s="175"/>
      <c r="B742" s="175"/>
      <c r="C742" s="175"/>
      <c r="D742" s="175"/>
      <c r="E742" s="175"/>
      <c r="F742" s="175"/>
      <c r="G742" s="175"/>
      <c r="H742" s="175"/>
      <c r="I742" s="175"/>
      <c r="J742" s="175"/>
      <c r="K742" s="175"/>
      <c r="L742" s="175"/>
      <c r="M742" s="175"/>
      <c r="N742" s="175"/>
      <c r="O742" s="175"/>
      <c r="P742" s="175"/>
    </row>
    <row r="743">
      <c r="A743" s="175"/>
      <c r="B743" s="175"/>
      <c r="C743" s="175"/>
      <c r="D743" s="175"/>
      <c r="E743" s="175"/>
      <c r="F743" s="175"/>
      <c r="G743" s="175"/>
      <c r="H743" s="175"/>
      <c r="I743" s="175"/>
      <c r="J743" s="175"/>
      <c r="K743" s="175"/>
      <c r="L743" s="175"/>
      <c r="M743" s="175"/>
      <c r="N743" s="175"/>
      <c r="O743" s="175"/>
      <c r="P743" s="175"/>
    </row>
    <row r="744">
      <c r="A744" s="175"/>
      <c r="B744" s="175"/>
      <c r="C744" s="175"/>
      <c r="D744" s="175"/>
      <c r="E744" s="175"/>
      <c r="F744" s="175"/>
      <c r="G744" s="175"/>
      <c r="H744" s="175"/>
      <c r="I744" s="175"/>
      <c r="J744" s="175"/>
      <c r="K744" s="175"/>
      <c r="L744" s="175"/>
      <c r="M744" s="175"/>
      <c r="N744" s="175"/>
      <c r="O744" s="175"/>
      <c r="P744" s="175"/>
    </row>
    <row r="745">
      <c r="A745" s="175"/>
      <c r="B745" s="175"/>
      <c r="C745" s="175"/>
      <c r="D745" s="175"/>
      <c r="E745" s="175"/>
      <c r="F745" s="175"/>
      <c r="G745" s="175"/>
      <c r="H745" s="175"/>
      <c r="I745" s="175"/>
      <c r="J745" s="175"/>
      <c r="K745" s="175"/>
      <c r="L745" s="175"/>
      <c r="M745" s="175"/>
      <c r="N745" s="175"/>
      <c r="O745" s="175"/>
      <c r="P745" s="175"/>
    </row>
    <row r="746">
      <c r="A746" s="175"/>
      <c r="B746" s="175"/>
      <c r="C746" s="175"/>
      <c r="D746" s="175"/>
      <c r="E746" s="175"/>
      <c r="F746" s="175"/>
      <c r="G746" s="175"/>
      <c r="H746" s="175"/>
      <c r="I746" s="175"/>
      <c r="J746" s="175"/>
      <c r="K746" s="175"/>
      <c r="L746" s="175"/>
      <c r="M746" s="175"/>
      <c r="N746" s="175"/>
      <c r="O746" s="175"/>
      <c r="P746" s="175"/>
    </row>
    <row r="747">
      <c r="A747" s="175"/>
      <c r="B747" s="175"/>
      <c r="C747" s="175"/>
      <c r="D747" s="175"/>
      <c r="E747" s="175"/>
      <c r="F747" s="175"/>
      <c r="G747" s="175"/>
      <c r="H747" s="175"/>
      <c r="I747" s="175"/>
      <c r="J747" s="175"/>
      <c r="K747" s="175"/>
      <c r="L747" s="175"/>
      <c r="M747" s="175"/>
      <c r="N747" s="175"/>
      <c r="O747" s="175"/>
      <c r="P747" s="175"/>
    </row>
    <row r="748">
      <c r="A748" s="175"/>
      <c r="B748" s="175"/>
      <c r="C748" s="175"/>
      <c r="D748" s="175"/>
      <c r="E748" s="175"/>
      <c r="F748" s="175"/>
      <c r="G748" s="175"/>
      <c r="H748" s="175"/>
      <c r="I748" s="175"/>
      <c r="J748" s="175"/>
      <c r="K748" s="175"/>
      <c r="L748" s="175"/>
      <c r="M748" s="175"/>
      <c r="N748" s="175"/>
      <c r="O748" s="175"/>
      <c r="P748" s="175"/>
    </row>
    <row r="749">
      <c r="A749" s="175"/>
      <c r="B749" s="175"/>
      <c r="C749" s="175"/>
      <c r="D749" s="175"/>
      <c r="E749" s="175"/>
      <c r="F749" s="175"/>
      <c r="G749" s="175"/>
      <c r="H749" s="175"/>
      <c r="I749" s="175"/>
      <c r="J749" s="175"/>
      <c r="K749" s="175"/>
      <c r="L749" s="175"/>
      <c r="M749" s="175"/>
      <c r="N749" s="175"/>
      <c r="O749" s="175"/>
      <c r="P749" s="175"/>
    </row>
    <row r="750">
      <c r="A750" s="175"/>
      <c r="B750" s="175"/>
      <c r="C750" s="175"/>
      <c r="D750" s="175"/>
      <c r="E750" s="175"/>
      <c r="F750" s="175"/>
      <c r="G750" s="175"/>
      <c r="H750" s="175"/>
      <c r="I750" s="175"/>
      <c r="J750" s="175"/>
      <c r="K750" s="175"/>
      <c r="L750" s="175"/>
      <c r="M750" s="175"/>
      <c r="N750" s="175"/>
      <c r="O750" s="175"/>
      <c r="P750" s="175"/>
    </row>
    <row r="751">
      <c r="A751" s="175"/>
      <c r="B751" s="175"/>
      <c r="C751" s="175"/>
      <c r="D751" s="175"/>
      <c r="E751" s="175"/>
      <c r="F751" s="175"/>
      <c r="G751" s="175"/>
      <c r="H751" s="175"/>
      <c r="I751" s="175"/>
      <c r="J751" s="175"/>
      <c r="K751" s="175"/>
      <c r="L751" s="175"/>
      <c r="M751" s="175"/>
      <c r="N751" s="175"/>
      <c r="O751" s="175"/>
      <c r="P751" s="175"/>
    </row>
    <row r="752">
      <c r="A752" s="175"/>
      <c r="B752" s="175"/>
      <c r="C752" s="175"/>
      <c r="D752" s="175"/>
      <c r="E752" s="175"/>
      <c r="F752" s="175"/>
      <c r="G752" s="175"/>
      <c r="H752" s="175"/>
      <c r="I752" s="175"/>
      <c r="J752" s="175"/>
      <c r="K752" s="175"/>
      <c r="L752" s="175"/>
      <c r="M752" s="175"/>
      <c r="N752" s="175"/>
      <c r="O752" s="175"/>
      <c r="P752" s="175"/>
    </row>
    <row r="753">
      <c r="A753" s="175"/>
      <c r="B753" s="175"/>
      <c r="C753" s="175"/>
      <c r="D753" s="175"/>
      <c r="E753" s="175"/>
      <c r="F753" s="175"/>
      <c r="G753" s="175"/>
      <c r="H753" s="175"/>
      <c r="I753" s="175"/>
      <c r="J753" s="175"/>
      <c r="K753" s="175"/>
      <c r="L753" s="175"/>
      <c r="M753" s="175"/>
      <c r="N753" s="175"/>
      <c r="O753" s="175"/>
      <c r="P753" s="175"/>
    </row>
    <row r="754">
      <c r="A754" s="175"/>
      <c r="B754" s="175"/>
      <c r="C754" s="175"/>
      <c r="D754" s="175"/>
      <c r="E754" s="175"/>
      <c r="F754" s="175"/>
      <c r="G754" s="175"/>
      <c r="H754" s="175"/>
      <c r="I754" s="175"/>
      <c r="J754" s="175"/>
      <c r="K754" s="175"/>
      <c r="L754" s="175"/>
      <c r="M754" s="175"/>
      <c r="N754" s="175"/>
      <c r="O754" s="175"/>
      <c r="P754" s="175"/>
    </row>
    <row r="755">
      <c r="A755" s="175"/>
      <c r="B755" s="175"/>
      <c r="C755" s="175"/>
      <c r="D755" s="175"/>
      <c r="E755" s="175"/>
      <c r="F755" s="175"/>
      <c r="G755" s="175"/>
      <c r="H755" s="175"/>
      <c r="I755" s="175"/>
      <c r="J755" s="175"/>
      <c r="K755" s="175"/>
      <c r="L755" s="175"/>
      <c r="M755" s="175"/>
      <c r="N755" s="175"/>
      <c r="O755" s="175"/>
      <c r="P755" s="175"/>
    </row>
    <row r="756">
      <c r="A756" s="175"/>
      <c r="B756" s="175"/>
      <c r="C756" s="175"/>
      <c r="D756" s="175"/>
      <c r="E756" s="175"/>
      <c r="F756" s="175"/>
      <c r="G756" s="175"/>
      <c r="H756" s="175"/>
      <c r="I756" s="175"/>
      <c r="J756" s="175"/>
      <c r="K756" s="175"/>
      <c r="L756" s="175"/>
      <c r="M756" s="175"/>
      <c r="N756" s="175"/>
      <c r="O756" s="175"/>
      <c r="P756" s="175"/>
    </row>
    <row r="757">
      <c r="A757" s="175"/>
      <c r="B757" s="175"/>
      <c r="C757" s="175"/>
      <c r="D757" s="175"/>
      <c r="E757" s="175"/>
      <c r="F757" s="175"/>
      <c r="G757" s="175"/>
      <c r="H757" s="175"/>
      <c r="I757" s="175"/>
      <c r="J757" s="175"/>
      <c r="K757" s="175"/>
      <c r="L757" s="175"/>
      <c r="M757" s="175"/>
      <c r="N757" s="175"/>
      <c r="O757" s="175"/>
      <c r="P757" s="175"/>
    </row>
    <row r="758">
      <c r="A758" s="175"/>
      <c r="B758" s="175"/>
      <c r="C758" s="175"/>
      <c r="D758" s="175"/>
      <c r="E758" s="175"/>
      <c r="F758" s="175"/>
      <c r="G758" s="175"/>
      <c r="H758" s="175"/>
      <c r="I758" s="175"/>
      <c r="J758" s="175"/>
      <c r="K758" s="175"/>
      <c r="L758" s="175"/>
      <c r="M758" s="175"/>
      <c r="N758" s="175"/>
      <c r="O758" s="175"/>
      <c r="P758" s="175"/>
    </row>
    <row r="759">
      <c r="A759" s="175"/>
      <c r="B759" s="175"/>
      <c r="C759" s="175"/>
      <c r="D759" s="175"/>
      <c r="E759" s="175"/>
      <c r="F759" s="175"/>
      <c r="G759" s="175"/>
      <c r="H759" s="175"/>
      <c r="I759" s="175"/>
      <c r="J759" s="175"/>
      <c r="K759" s="175"/>
      <c r="L759" s="175"/>
      <c r="M759" s="175"/>
      <c r="N759" s="175"/>
      <c r="O759" s="175"/>
      <c r="P759" s="175"/>
    </row>
    <row r="760">
      <c r="A760" s="175"/>
      <c r="B760" s="175"/>
      <c r="C760" s="175"/>
      <c r="D760" s="175"/>
      <c r="E760" s="175"/>
      <c r="F760" s="175"/>
      <c r="G760" s="175"/>
      <c r="H760" s="175"/>
      <c r="I760" s="175"/>
      <c r="J760" s="175"/>
      <c r="K760" s="175"/>
      <c r="L760" s="175"/>
      <c r="M760" s="175"/>
      <c r="N760" s="175"/>
      <c r="O760" s="175"/>
      <c r="P760" s="175"/>
    </row>
    <row r="761">
      <c r="A761" s="175"/>
      <c r="B761" s="175"/>
      <c r="C761" s="175"/>
      <c r="D761" s="175"/>
      <c r="E761" s="175"/>
      <c r="F761" s="175"/>
      <c r="G761" s="175"/>
      <c r="H761" s="175"/>
      <c r="I761" s="175"/>
      <c r="J761" s="175"/>
      <c r="K761" s="175"/>
      <c r="L761" s="175"/>
      <c r="M761" s="175"/>
      <c r="N761" s="175"/>
      <c r="O761" s="175"/>
      <c r="P761" s="175"/>
    </row>
    <row r="762">
      <c r="A762" s="175"/>
      <c r="B762" s="175"/>
      <c r="C762" s="175"/>
      <c r="D762" s="175"/>
      <c r="E762" s="175"/>
      <c r="F762" s="175"/>
      <c r="G762" s="175"/>
      <c r="H762" s="175"/>
      <c r="I762" s="175"/>
      <c r="J762" s="175"/>
      <c r="K762" s="175"/>
      <c r="L762" s="175"/>
      <c r="M762" s="175"/>
      <c r="N762" s="175"/>
      <c r="O762" s="175"/>
      <c r="P762" s="175"/>
    </row>
    <row r="763">
      <c r="A763" s="175"/>
      <c r="B763" s="175"/>
      <c r="C763" s="175"/>
      <c r="D763" s="175"/>
      <c r="E763" s="175"/>
      <c r="F763" s="175"/>
      <c r="G763" s="175"/>
      <c r="H763" s="175"/>
      <c r="I763" s="175"/>
      <c r="J763" s="175"/>
      <c r="K763" s="175"/>
      <c r="L763" s="175"/>
      <c r="M763" s="175"/>
      <c r="N763" s="175"/>
      <c r="O763" s="175"/>
      <c r="P763" s="175"/>
    </row>
    <row r="764">
      <c r="A764" s="175"/>
      <c r="B764" s="175"/>
      <c r="C764" s="175"/>
      <c r="D764" s="175"/>
      <c r="E764" s="175"/>
      <c r="F764" s="175"/>
      <c r="G764" s="175"/>
      <c r="H764" s="175"/>
      <c r="I764" s="175"/>
      <c r="J764" s="175"/>
      <c r="K764" s="175"/>
      <c r="L764" s="175"/>
      <c r="M764" s="175"/>
      <c r="N764" s="175"/>
      <c r="O764" s="175"/>
      <c r="P764" s="175"/>
    </row>
    <row r="765">
      <c r="A765" s="175"/>
      <c r="B765" s="175"/>
      <c r="C765" s="175"/>
      <c r="D765" s="175"/>
      <c r="E765" s="175"/>
      <c r="F765" s="175"/>
      <c r="G765" s="175"/>
      <c r="H765" s="175"/>
      <c r="I765" s="175"/>
      <c r="J765" s="175"/>
      <c r="K765" s="175"/>
      <c r="L765" s="175"/>
      <c r="M765" s="175"/>
      <c r="N765" s="175"/>
      <c r="O765" s="175"/>
      <c r="P765" s="175"/>
    </row>
    <row r="766">
      <c r="A766" s="175"/>
      <c r="B766" s="175"/>
      <c r="C766" s="175"/>
      <c r="D766" s="175"/>
      <c r="E766" s="175"/>
      <c r="F766" s="175"/>
      <c r="G766" s="175"/>
      <c r="H766" s="175"/>
      <c r="I766" s="175"/>
      <c r="J766" s="175"/>
      <c r="K766" s="175"/>
      <c r="L766" s="175"/>
      <c r="M766" s="175"/>
      <c r="N766" s="175"/>
      <c r="O766" s="175"/>
      <c r="P766" s="175"/>
    </row>
    <row r="767">
      <c r="A767" s="175"/>
      <c r="B767" s="175"/>
      <c r="C767" s="175"/>
      <c r="D767" s="175"/>
      <c r="E767" s="175"/>
      <c r="F767" s="175"/>
      <c r="G767" s="175"/>
      <c r="H767" s="175"/>
      <c r="I767" s="175"/>
      <c r="J767" s="175"/>
      <c r="K767" s="175"/>
      <c r="L767" s="175"/>
      <c r="M767" s="175"/>
      <c r="N767" s="175"/>
      <c r="O767" s="175"/>
      <c r="P767" s="175"/>
    </row>
    <row r="768">
      <c r="A768" s="175"/>
      <c r="B768" s="175"/>
      <c r="C768" s="175"/>
      <c r="D768" s="175"/>
      <c r="E768" s="175"/>
      <c r="F768" s="175"/>
      <c r="G768" s="175"/>
      <c r="H768" s="175"/>
      <c r="I768" s="175"/>
      <c r="J768" s="175"/>
      <c r="K768" s="175"/>
      <c r="L768" s="175"/>
      <c r="M768" s="175"/>
      <c r="N768" s="175"/>
      <c r="O768" s="175"/>
      <c r="P768" s="175"/>
    </row>
    <row r="769">
      <c r="A769" s="175"/>
      <c r="B769" s="175"/>
      <c r="C769" s="175"/>
      <c r="D769" s="175"/>
      <c r="E769" s="175"/>
      <c r="F769" s="175"/>
      <c r="G769" s="175"/>
      <c r="H769" s="175"/>
      <c r="I769" s="175"/>
      <c r="J769" s="175"/>
      <c r="K769" s="175"/>
      <c r="L769" s="175"/>
      <c r="M769" s="175"/>
      <c r="N769" s="175"/>
      <c r="O769" s="175"/>
      <c r="P769" s="175"/>
    </row>
    <row r="770">
      <c r="A770" s="175"/>
      <c r="B770" s="175"/>
      <c r="C770" s="175"/>
      <c r="D770" s="175"/>
      <c r="E770" s="175"/>
      <c r="F770" s="175"/>
      <c r="G770" s="175"/>
      <c r="H770" s="175"/>
      <c r="I770" s="175"/>
      <c r="J770" s="175"/>
      <c r="K770" s="175"/>
      <c r="L770" s="175"/>
      <c r="M770" s="175"/>
      <c r="N770" s="175"/>
      <c r="O770" s="175"/>
      <c r="P770" s="175"/>
    </row>
    <row r="771">
      <c r="A771" s="175"/>
      <c r="B771" s="175"/>
      <c r="C771" s="175"/>
      <c r="D771" s="175"/>
      <c r="E771" s="175"/>
      <c r="F771" s="175"/>
      <c r="G771" s="175"/>
      <c r="H771" s="175"/>
      <c r="I771" s="175"/>
      <c r="J771" s="175"/>
      <c r="K771" s="175"/>
      <c r="L771" s="175"/>
      <c r="M771" s="175"/>
      <c r="N771" s="175"/>
      <c r="O771" s="175"/>
      <c r="P771" s="175"/>
    </row>
    <row r="772">
      <c r="A772" s="175"/>
      <c r="B772" s="175"/>
      <c r="C772" s="175"/>
      <c r="D772" s="175"/>
      <c r="E772" s="175"/>
      <c r="F772" s="175"/>
      <c r="G772" s="175"/>
      <c r="H772" s="175"/>
      <c r="I772" s="175"/>
      <c r="J772" s="175"/>
      <c r="K772" s="175"/>
      <c r="L772" s="175"/>
      <c r="M772" s="175"/>
      <c r="N772" s="175"/>
      <c r="O772" s="175"/>
      <c r="P772" s="175"/>
    </row>
    <row r="773">
      <c r="A773" s="175"/>
      <c r="B773" s="175"/>
      <c r="C773" s="175"/>
      <c r="D773" s="175"/>
      <c r="E773" s="175"/>
      <c r="F773" s="175"/>
      <c r="G773" s="175"/>
      <c r="H773" s="175"/>
      <c r="I773" s="175"/>
      <c r="J773" s="175"/>
      <c r="K773" s="175"/>
      <c r="L773" s="175"/>
      <c r="M773" s="175"/>
      <c r="N773" s="175"/>
      <c r="O773" s="175"/>
      <c r="P773" s="175"/>
    </row>
    <row r="774">
      <c r="A774" s="175"/>
      <c r="B774" s="175"/>
      <c r="C774" s="175"/>
      <c r="D774" s="175"/>
      <c r="E774" s="175"/>
      <c r="F774" s="175"/>
      <c r="G774" s="175"/>
      <c r="H774" s="175"/>
      <c r="I774" s="175"/>
      <c r="J774" s="175"/>
      <c r="K774" s="175"/>
      <c r="L774" s="175"/>
      <c r="M774" s="175"/>
      <c r="N774" s="175"/>
      <c r="O774" s="175"/>
      <c r="P774" s="175"/>
    </row>
    <row r="775">
      <c r="A775" s="175"/>
      <c r="B775" s="175"/>
      <c r="C775" s="175"/>
      <c r="D775" s="175"/>
      <c r="E775" s="175"/>
      <c r="F775" s="175"/>
      <c r="G775" s="175"/>
      <c r="H775" s="175"/>
      <c r="I775" s="175"/>
      <c r="J775" s="175"/>
      <c r="K775" s="175"/>
      <c r="L775" s="175"/>
      <c r="M775" s="175"/>
      <c r="N775" s="175"/>
      <c r="O775" s="175"/>
      <c r="P775" s="175"/>
    </row>
    <row r="776">
      <c r="A776" s="175"/>
      <c r="B776" s="175"/>
      <c r="C776" s="175"/>
      <c r="D776" s="175"/>
      <c r="E776" s="175"/>
      <c r="F776" s="175"/>
      <c r="G776" s="175"/>
      <c r="H776" s="175"/>
      <c r="I776" s="175"/>
      <c r="J776" s="175"/>
      <c r="K776" s="175"/>
      <c r="L776" s="175"/>
      <c r="M776" s="175"/>
      <c r="N776" s="175"/>
      <c r="O776" s="175"/>
      <c r="P776" s="175"/>
    </row>
    <row r="777">
      <c r="A777" s="175"/>
      <c r="B777" s="175"/>
      <c r="C777" s="175"/>
      <c r="D777" s="175"/>
      <c r="E777" s="175"/>
      <c r="F777" s="175"/>
      <c r="G777" s="175"/>
      <c r="H777" s="175"/>
      <c r="I777" s="175"/>
      <c r="J777" s="175"/>
      <c r="K777" s="175"/>
      <c r="L777" s="175"/>
      <c r="M777" s="175"/>
      <c r="N777" s="175"/>
      <c r="O777" s="175"/>
      <c r="P777" s="175"/>
    </row>
    <row r="778">
      <c r="A778" s="175"/>
      <c r="B778" s="175"/>
      <c r="C778" s="175"/>
      <c r="D778" s="175"/>
      <c r="E778" s="175"/>
      <c r="F778" s="175"/>
      <c r="G778" s="175"/>
      <c r="H778" s="175"/>
      <c r="I778" s="175"/>
      <c r="J778" s="175"/>
      <c r="K778" s="175"/>
      <c r="L778" s="175"/>
      <c r="M778" s="175"/>
      <c r="N778" s="175"/>
      <c r="O778" s="175"/>
      <c r="P778" s="175"/>
    </row>
    <row r="779">
      <c r="A779" s="175"/>
      <c r="B779" s="175"/>
      <c r="C779" s="175"/>
      <c r="D779" s="175"/>
      <c r="E779" s="175"/>
      <c r="F779" s="175"/>
      <c r="G779" s="175"/>
      <c r="H779" s="175"/>
      <c r="I779" s="175"/>
      <c r="J779" s="175"/>
      <c r="K779" s="175"/>
      <c r="L779" s="175"/>
      <c r="M779" s="175"/>
      <c r="N779" s="175"/>
      <c r="O779" s="175"/>
      <c r="P779" s="175"/>
    </row>
    <row r="780">
      <c r="A780" s="175"/>
      <c r="B780" s="175"/>
      <c r="C780" s="175"/>
      <c r="D780" s="175"/>
      <c r="E780" s="175"/>
      <c r="F780" s="175"/>
      <c r="G780" s="175"/>
      <c r="H780" s="175"/>
      <c r="I780" s="175"/>
      <c r="J780" s="175"/>
      <c r="K780" s="175"/>
      <c r="L780" s="175"/>
      <c r="M780" s="175"/>
      <c r="N780" s="175"/>
      <c r="O780" s="175"/>
      <c r="P780" s="175"/>
    </row>
    <row r="781">
      <c r="A781" s="175"/>
      <c r="B781" s="175"/>
      <c r="C781" s="175"/>
      <c r="D781" s="175"/>
      <c r="E781" s="175"/>
      <c r="F781" s="175"/>
      <c r="G781" s="175"/>
      <c r="H781" s="175"/>
      <c r="I781" s="175"/>
      <c r="J781" s="175"/>
      <c r="K781" s="175"/>
      <c r="L781" s="175"/>
      <c r="M781" s="175"/>
      <c r="N781" s="175"/>
      <c r="O781" s="175"/>
      <c r="P781" s="175"/>
    </row>
    <row r="782">
      <c r="A782" s="175"/>
      <c r="B782" s="175"/>
      <c r="C782" s="175"/>
      <c r="D782" s="175"/>
      <c r="E782" s="175"/>
      <c r="F782" s="175"/>
      <c r="G782" s="175"/>
      <c r="H782" s="175"/>
      <c r="I782" s="175"/>
      <c r="J782" s="175"/>
      <c r="K782" s="175"/>
      <c r="L782" s="175"/>
      <c r="M782" s="175"/>
      <c r="N782" s="175"/>
      <c r="O782" s="175"/>
      <c r="P782" s="175"/>
    </row>
    <row r="783">
      <c r="A783" s="175"/>
      <c r="B783" s="175"/>
      <c r="C783" s="175"/>
      <c r="D783" s="175"/>
      <c r="E783" s="175"/>
      <c r="F783" s="175"/>
      <c r="G783" s="175"/>
      <c r="H783" s="175"/>
      <c r="I783" s="175"/>
      <c r="J783" s="175"/>
      <c r="K783" s="175"/>
      <c r="L783" s="175"/>
      <c r="M783" s="175"/>
      <c r="N783" s="175"/>
      <c r="O783" s="175"/>
      <c r="P783" s="175"/>
    </row>
    <row r="784">
      <c r="A784" s="175"/>
      <c r="B784" s="175"/>
      <c r="C784" s="175"/>
      <c r="D784" s="175"/>
      <c r="E784" s="175"/>
      <c r="F784" s="175"/>
      <c r="G784" s="175"/>
      <c r="H784" s="175"/>
      <c r="I784" s="175"/>
      <c r="J784" s="175"/>
      <c r="K784" s="175"/>
      <c r="L784" s="175"/>
      <c r="M784" s="175"/>
      <c r="N784" s="175"/>
      <c r="O784" s="175"/>
      <c r="P784" s="175"/>
    </row>
    <row r="785">
      <c r="A785" s="175"/>
      <c r="B785" s="175"/>
      <c r="C785" s="175"/>
      <c r="D785" s="175"/>
      <c r="E785" s="175"/>
      <c r="F785" s="175"/>
      <c r="G785" s="175"/>
      <c r="H785" s="175"/>
      <c r="I785" s="175"/>
      <c r="J785" s="175"/>
      <c r="K785" s="175"/>
      <c r="L785" s="175"/>
      <c r="M785" s="175"/>
      <c r="N785" s="175"/>
      <c r="O785" s="175"/>
      <c r="P785" s="175"/>
    </row>
    <row r="786">
      <c r="A786" s="175"/>
      <c r="B786" s="175"/>
      <c r="C786" s="175"/>
      <c r="D786" s="175"/>
      <c r="E786" s="175"/>
      <c r="F786" s="175"/>
      <c r="G786" s="175"/>
      <c r="H786" s="175"/>
      <c r="I786" s="175"/>
      <c r="J786" s="175"/>
      <c r="K786" s="175"/>
      <c r="L786" s="175"/>
      <c r="M786" s="175"/>
      <c r="N786" s="175"/>
      <c r="O786" s="175"/>
      <c r="P786" s="175"/>
    </row>
    <row r="787">
      <c r="A787" s="175"/>
      <c r="B787" s="175"/>
      <c r="C787" s="175"/>
      <c r="D787" s="175"/>
      <c r="E787" s="175"/>
      <c r="F787" s="175"/>
      <c r="G787" s="175"/>
      <c r="H787" s="175"/>
      <c r="I787" s="175"/>
      <c r="J787" s="175"/>
      <c r="K787" s="175"/>
      <c r="L787" s="175"/>
      <c r="M787" s="175"/>
      <c r="N787" s="175"/>
      <c r="O787" s="175"/>
      <c r="P787" s="175"/>
    </row>
    <row r="788">
      <c r="A788" s="175"/>
      <c r="B788" s="175"/>
      <c r="C788" s="175"/>
      <c r="D788" s="175"/>
      <c r="E788" s="175"/>
      <c r="F788" s="175"/>
      <c r="G788" s="175"/>
      <c r="H788" s="175"/>
      <c r="I788" s="175"/>
      <c r="J788" s="175"/>
      <c r="K788" s="175"/>
      <c r="L788" s="175"/>
      <c r="M788" s="175"/>
      <c r="N788" s="175"/>
      <c r="O788" s="175"/>
      <c r="P788" s="175"/>
    </row>
    <row r="789">
      <c r="A789" s="175"/>
      <c r="B789" s="175"/>
      <c r="C789" s="175"/>
      <c r="D789" s="175"/>
      <c r="E789" s="175"/>
      <c r="F789" s="175"/>
      <c r="G789" s="175"/>
      <c r="H789" s="175"/>
      <c r="I789" s="175"/>
      <c r="J789" s="175"/>
      <c r="K789" s="175"/>
      <c r="L789" s="175"/>
      <c r="M789" s="175"/>
      <c r="N789" s="175"/>
      <c r="O789" s="175"/>
      <c r="P789" s="175"/>
    </row>
    <row r="790">
      <c r="A790" s="175"/>
      <c r="B790" s="175"/>
      <c r="C790" s="175"/>
      <c r="D790" s="175"/>
      <c r="E790" s="175"/>
      <c r="F790" s="175"/>
      <c r="G790" s="175"/>
      <c r="H790" s="175"/>
      <c r="I790" s="175"/>
      <c r="J790" s="175"/>
      <c r="K790" s="175"/>
      <c r="L790" s="175"/>
      <c r="M790" s="175"/>
      <c r="N790" s="175"/>
      <c r="O790" s="175"/>
      <c r="P790" s="175"/>
    </row>
    <row r="791">
      <c r="A791" s="175"/>
      <c r="B791" s="175"/>
      <c r="C791" s="175"/>
      <c r="D791" s="175"/>
      <c r="E791" s="175"/>
      <c r="F791" s="175"/>
      <c r="G791" s="175"/>
      <c r="H791" s="175"/>
      <c r="I791" s="175"/>
      <c r="J791" s="175"/>
      <c r="K791" s="175"/>
      <c r="L791" s="175"/>
      <c r="M791" s="175"/>
      <c r="N791" s="175"/>
      <c r="O791" s="175"/>
      <c r="P791" s="175"/>
    </row>
    <row r="792">
      <c r="A792" s="175"/>
      <c r="B792" s="175"/>
      <c r="C792" s="175"/>
      <c r="D792" s="175"/>
      <c r="E792" s="175"/>
      <c r="F792" s="175"/>
      <c r="G792" s="175"/>
      <c r="H792" s="175"/>
      <c r="I792" s="175"/>
      <c r="J792" s="175"/>
      <c r="K792" s="175"/>
      <c r="L792" s="175"/>
      <c r="M792" s="175"/>
      <c r="N792" s="175"/>
      <c r="O792" s="175"/>
      <c r="P792" s="175"/>
    </row>
    <row r="793">
      <c r="A793" s="175"/>
      <c r="B793" s="175"/>
      <c r="C793" s="175"/>
      <c r="D793" s="175"/>
      <c r="E793" s="175"/>
      <c r="F793" s="175"/>
      <c r="G793" s="175"/>
      <c r="H793" s="175"/>
      <c r="I793" s="175"/>
      <c r="J793" s="175"/>
      <c r="K793" s="175"/>
      <c r="L793" s="175"/>
      <c r="M793" s="175"/>
      <c r="N793" s="175"/>
      <c r="O793" s="175"/>
      <c r="P793" s="175"/>
    </row>
    <row r="794">
      <c r="A794" s="175"/>
      <c r="B794" s="175"/>
      <c r="C794" s="175"/>
      <c r="D794" s="175"/>
      <c r="E794" s="175"/>
      <c r="F794" s="175"/>
      <c r="G794" s="175"/>
      <c r="H794" s="175"/>
      <c r="I794" s="175"/>
      <c r="J794" s="175"/>
      <c r="K794" s="175"/>
      <c r="L794" s="175"/>
      <c r="M794" s="175"/>
      <c r="N794" s="175"/>
      <c r="O794" s="175"/>
      <c r="P794" s="175"/>
    </row>
    <row r="795">
      <c r="A795" s="175"/>
      <c r="B795" s="175"/>
      <c r="C795" s="175"/>
      <c r="D795" s="175"/>
      <c r="E795" s="175"/>
      <c r="F795" s="175"/>
      <c r="G795" s="175"/>
      <c r="H795" s="175"/>
      <c r="I795" s="175"/>
      <c r="J795" s="175"/>
      <c r="K795" s="175"/>
      <c r="L795" s="175"/>
      <c r="M795" s="175"/>
      <c r="N795" s="175"/>
      <c r="O795" s="175"/>
      <c r="P795" s="175"/>
    </row>
    <row r="796">
      <c r="A796" s="175"/>
      <c r="B796" s="175"/>
      <c r="C796" s="175"/>
      <c r="D796" s="175"/>
      <c r="E796" s="175"/>
      <c r="F796" s="175"/>
      <c r="G796" s="175"/>
      <c r="H796" s="175"/>
      <c r="I796" s="175"/>
      <c r="J796" s="175"/>
      <c r="K796" s="175"/>
      <c r="L796" s="175"/>
      <c r="M796" s="175"/>
      <c r="N796" s="175"/>
      <c r="O796" s="175"/>
      <c r="P796" s="175"/>
    </row>
    <row r="797">
      <c r="A797" s="175"/>
      <c r="B797" s="175"/>
      <c r="C797" s="175"/>
      <c r="D797" s="175"/>
      <c r="E797" s="175"/>
      <c r="F797" s="175"/>
      <c r="G797" s="175"/>
      <c r="H797" s="175"/>
      <c r="I797" s="175"/>
      <c r="J797" s="175"/>
      <c r="K797" s="175"/>
      <c r="L797" s="175"/>
      <c r="M797" s="175"/>
      <c r="N797" s="175"/>
      <c r="O797" s="175"/>
      <c r="P797" s="175"/>
    </row>
    <row r="798">
      <c r="A798" s="175"/>
      <c r="B798" s="175"/>
      <c r="C798" s="175"/>
      <c r="D798" s="175"/>
      <c r="E798" s="175"/>
      <c r="F798" s="175"/>
      <c r="G798" s="175"/>
      <c r="H798" s="175"/>
      <c r="I798" s="175"/>
      <c r="J798" s="175"/>
      <c r="K798" s="175"/>
      <c r="L798" s="175"/>
      <c r="M798" s="175"/>
      <c r="N798" s="175"/>
      <c r="O798" s="175"/>
      <c r="P798" s="175"/>
    </row>
    <row r="799">
      <c r="A799" s="175"/>
      <c r="B799" s="175"/>
      <c r="C799" s="175"/>
      <c r="D799" s="175"/>
      <c r="E799" s="175"/>
      <c r="F799" s="175"/>
      <c r="G799" s="175"/>
      <c r="H799" s="175"/>
      <c r="I799" s="175"/>
      <c r="J799" s="175"/>
      <c r="K799" s="175"/>
      <c r="L799" s="175"/>
      <c r="M799" s="175"/>
      <c r="N799" s="175"/>
      <c r="O799" s="175"/>
      <c r="P799" s="175"/>
    </row>
    <row r="800">
      <c r="A800" s="175"/>
      <c r="B800" s="175"/>
      <c r="C800" s="175"/>
      <c r="D800" s="175"/>
      <c r="E800" s="175"/>
      <c r="F800" s="175"/>
      <c r="G800" s="175"/>
      <c r="H800" s="175"/>
      <c r="I800" s="175"/>
      <c r="J800" s="175"/>
      <c r="K800" s="175"/>
      <c r="L800" s="175"/>
      <c r="M800" s="175"/>
      <c r="N800" s="175"/>
      <c r="O800" s="175"/>
      <c r="P800" s="175"/>
    </row>
    <row r="801">
      <c r="A801" s="175"/>
      <c r="B801" s="175"/>
      <c r="C801" s="175"/>
      <c r="D801" s="175"/>
      <c r="E801" s="175"/>
      <c r="F801" s="175"/>
      <c r="G801" s="175"/>
      <c r="H801" s="175"/>
      <c r="I801" s="175"/>
      <c r="J801" s="175"/>
      <c r="K801" s="175"/>
      <c r="L801" s="175"/>
      <c r="M801" s="175"/>
      <c r="N801" s="175"/>
      <c r="O801" s="175"/>
      <c r="P801" s="175"/>
    </row>
    <row r="802">
      <c r="A802" s="175"/>
      <c r="B802" s="175"/>
      <c r="C802" s="175"/>
      <c r="D802" s="175"/>
      <c r="E802" s="175"/>
      <c r="F802" s="175"/>
      <c r="G802" s="175"/>
      <c r="H802" s="175"/>
      <c r="I802" s="175"/>
      <c r="J802" s="175"/>
      <c r="K802" s="175"/>
      <c r="L802" s="175"/>
      <c r="M802" s="175"/>
      <c r="N802" s="175"/>
      <c r="O802" s="175"/>
      <c r="P802" s="175"/>
    </row>
    <row r="803">
      <c r="A803" s="175"/>
      <c r="B803" s="175"/>
      <c r="C803" s="175"/>
      <c r="D803" s="175"/>
      <c r="E803" s="175"/>
      <c r="F803" s="175"/>
      <c r="G803" s="175"/>
      <c r="H803" s="175"/>
      <c r="I803" s="175"/>
      <c r="J803" s="175"/>
      <c r="K803" s="175"/>
      <c r="L803" s="175"/>
      <c r="M803" s="175"/>
      <c r="N803" s="175"/>
      <c r="O803" s="175"/>
      <c r="P803" s="175"/>
    </row>
    <row r="804">
      <c r="A804" s="175"/>
      <c r="B804" s="175"/>
      <c r="C804" s="175"/>
      <c r="D804" s="175"/>
      <c r="E804" s="175"/>
      <c r="F804" s="175"/>
      <c r="G804" s="175"/>
      <c r="H804" s="175"/>
      <c r="I804" s="175"/>
      <c r="J804" s="175"/>
      <c r="K804" s="175"/>
      <c r="L804" s="175"/>
      <c r="M804" s="175"/>
      <c r="N804" s="175"/>
      <c r="O804" s="175"/>
      <c r="P804" s="175"/>
    </row>
    <row r="805">
      <c r="A805" s="175"/>
      <c r="B805" s="175"/>
      <c r="C805" s="175"/>
      <c r="D805" s="175"/>
      <c r="E805" s="175"/>
      <c r="F805" s="175"/>
      <c r="G805" s="175"/>
      <c r="H805" s="175"/>
      <c r="I805" s="175"/>
      <c r="J805" s="175"/>
      <c r="K805" s="175"/>
      <c r="L805" s="175"/>
      <c r="M805" s="175"/>
      <c r="N805" s="175"/>
      <c r="O805" s="175"/>
      <c r="P805" s="175"/>
    </row>
    <row r="806">
      <c r="A806" s="175"/>
      <c r="B806" s="175"/>
      <c r="C806" s="175"/>
      <c r="D806" s="175"/>
      <c r="E806" s="175"/>
      <c r="F806" s="175"/>
      <c r="G806" s="175"/>
      <c r="H806" s="175"/>
      <c r="I806" s="175"/>
      <c r="J806" s="175"/>
      <c r="K806" s="175"/>
      <c r="L806" s="175"/>
      <c r="M806" s="175"/>
      <c r="N806" s="175"/>
      <c r="O806" s="175"/>
      <c r="P806" s="175"/>
    </row>
    <row r="807">
      <c r="A807" s="175"/>
      <c r="B807" s="175"/>
      <c r="C807" s="175"/>
      <c r="D807" s="175"/>
      <c r="E807" s="175"/>
      <c r="F807" s="175"/>
      <c r="G807" s="175"/>
      <c r="H807" s="175"/>
      <c r="I807" s="175"/>
      <c r="J807" s="175"/>
      <c r="K807" s="175"/>
      <c r="L807" s="175"/>
      <c r="M807" s="175"/>
      <c r="N807" s="175"/>
      <c r="O807" s="175"/>
      <c r="P807" s="175"/>
    </row>
    <row r="808">
      <c r="A808" s="175"/>
      <c r="B808" s="175"/>
      <c r="C808" s="175"/>
      <c r="D808" s="175"/>
      <c r="E808" s="175"/>
      <c r="F808" s="175"/>
      <c r="G808" s="175"/>
      <c r="H808" s="175"/>
      <c r="I808" s="175"/>
      <c r="J808" s="175"/>
      <c r="K808" s="175"/>
      <c r="L808" s="175"/>
      <c r="M808" s="175"/>
      <c r="N808" s="175"/>
      <c r="O808" s="175"/>
      <c r="P808" s="175"/>
    </row>
    <row r="809">
      <c r="A809" s="175"/>
      <c r="B809" s="175"/>
      <c r="C809" s="175"/>
      <c r="D809" s="175"/>
      <c r="E809" s="175"/>
      <c r="F809" s="175"/>
      <c r="G809" s="175"/>
      <c r="H809" s="175"/>
      <c r="I809" s="175"/>
      <c r="J809" s="175"/>
      <c r="K809" s="175"/>
      <c r="L809" s="175"/>
      <c r="M809" s="175"/>
      <c r="N809" s="175"/>
      <c r="O809" s="175"/>
      <c r="P809" s="175"/>
    </row>
    <row r="810">
      <c r="A810" s="175"/>
      <c r="B810" s="175"/>
      <c r="C810" s="175"/>
      <c r="D810" s="175"/>
      <c r="E810" s="175"/>
      <c r="F810" s="175"/>
      <c r="G810" s="175"/>
      <c r="H810" s="175"/>
      <c r="I810" s="175"/>
      <c r="J810" s="175"/>
      <c r="K810" s="175"/>
      <c r="L810" s="175"/>
      <c r="M810" s="175"/>
      <c r="N810" s="175"/>
      <c r="O810" s="175"/>
      <c r="P810" s="175"/>
    </row>
    <row r="811">
      <c r="A811" s="175"/>
      <c r="B811" s="175"/>
      <c r="C811" s="175"/>
      <c r="D811" s="175"/>
      <c r="E811" s="175"/>
      <c r="F811" s="175"/>
      <c r="G811" s="175"/>
      <c r="H811" s="175"/>
      <c r="I811" s="175"/>
      <c r="J811" s="175"/>
      <c r="K811" s="175"/>
      <c r="L811" s="175"/>
      <c r="M811" s="175"/>
      <c r="N811" s="175"/>
      <c r="O811" s="175"/>
      <c r="P811" s="175"/>
    </row>
    <row r="812">
      <c r="A812" s="175"/>
      <c r="B812" s="175"/>
      <c r="C812" s="175"/>
      <c r="D812" s="175"/>
      <c r="E812" s="175"/>
      <c r="F812" s="175"/>
      <c r="G812" s="175"/>
      <c r="H812" s="175"/>
      <c r="I812" s="175"/>
      <c r="J812" s="175"/>
      <c r="K812" s="175"/>
      <c r="L812" s="175"/>
      <c r="M812" s="175"/>
      <c r="N812" s="175"/>
      <c r="O812" s="175"/>
      <c r="P812" s="175"/>
    </row>
    <row r="813">
      <c r="A813" s="175"/>
      <c r="B813" s="175"/>
      <c r="C813" s="175"/>
      <c r="D813" s="175"/>
      <c r="E813" s="175"/>
      <c r="F813" s="175"/>
      <c r="G813" s="175"/>
      <c r="H813" s="175"/>
      <c r="I813" s="175"/>
      <c r="J813" s="175"/>
      <c r="K813" s="175"/>
      <c r="L813" s="175"/>
      <c r="M813" s="175"/>
      <c r="N813" s="175"/>
      <c r="O813" s="175"/>
      <c r="P813" s="175"/>
    </row>
    <row r="814">
      <c r="A814" s="175"/>
      <c r="B814" s="175"/>
      <c r="C814" s="175"/>
      <c r="D814" s="175"/>
      <c r="E814" s="175"/>
      <c r="F814" s="175"/>
      <c r="G814" s="175"/>
      <c r="H814" s="175"/>
      <c r="I814" s="175"/>
      <c r="J814" s="175"/>
      <c r="K814" s="175"/>
      <c r="L814" s="175"/>
      <c r="M814" s="175"/>
      <c r="N814" s="175"/>
      <c r="O814" s="175"/>
      <c r="P814" s="175"/>
    </row>
    <row r="815">
      <c r="A815" s="175"/>
      <c r="B815" s="175"/>
      <c r="C815" s="175"/>
      <c r="D815" s="175"/>
      <c r="E815" s="175"/>
      <c r="F815" s="175"/>
      <c r="G815" s="175"/>
      <c r="H815" s="175"/>
      <c r="I815" s="175"/>
      <c r="J815" s="175"/>
      <c r="K815" s="175"/>
      <c r="L815" s="175"/>
      <c r="M815" s="175"/>
      <c r="N815" s="175"/>
      <c r="O815" s="175"/>
      <c r="P815" s="175"/>
    </row>
    <row r="816">
      <c r="A816" s="175"/>
      <c r="B816" s="175"/>
      <c r="C816" s="175"/>
      <c r="D816" s="175"/>
      <c r="E816" s="175"/>
      <c r="F816" s="175"/>
      <c r="G816" s="175"/>
      <c r="H816" s="175"/>
      <c r="I816" s="175"/>
      <c r="J816" s="175"/>
      <c r="K816" s="175"/>
      <c r="L816" s="175"/>
      <c r="M816" s="175"/>
      <c r="N816" s="175"/>
      <c r="O816" s="175"/>
      <c r="P816" s="175"/>
    </row>
    <row r="817">
      <c r="A817" s="175"/>
      <c r="B817" s="175"/>
      <c r="C817" s="175"/>
      <c r="D817" s="175"/>
      <c r="E817" s="175"/>
      <c r="F817" s="175"/>
      <c r="G817" s="175"/>
      <c r="H817" s="175"/>
      <c r="I817" s="175"/>
      <c r="J817" s="175"/>
      <c r="K817" s="175"/>
      <c r="L817" s="175"/>
      <c r="M817" s="175"/>
      <c r="N817" s="175"/>
      <c r="O817" s="175"/>
      <c r="P817" s="175"/>
    </row>
    <row r="818">
      <c r="A818" s="175"/>
      <c r="B818" s="175"/>
      <c r="C818" s="175"/>
      <c r="D818" s="175"/>
      <c r="E818" s="175"/>
      <c r="F818" s="175"/>
      <c r="G818" s="175"/>
      <c r="H818" s="175"/>
      <c r="I818" s="175"/>
      <c r="J818" s="175"/>
      <c r="K818" s="175"/>
      <c r="L818" s="175"/>
      <c r="M818" s="175"/>
      <c r="N818" s="175"/>
      <c r="O818" s="175"/>
      <c r="P818" s="175"/>
    </row>
    <row r="819">
      <c r="A819" s="175"/>
      <c r="B819" s="175"/>
      <c r="C819" s="175"/>
      <c r="D819" s="175"/>
      <c r="E819" s="175"/>
      <c r="F819" s="175"/>
      <c r="G819" s="175"/>
      <c r="H819" s="175"/>
      <c r="I819" s="175"/>
      <c r="J819" s="175"/>
      <c r="K819" s="175"/>
      <c r="L819" s="175"/>
      <c r="M819" s="175"/>
      <c r="N819" s="175"/>
      <c r="O819" s="175"/>
      <c r="P819" s="175"/>
    </row>
    <row r="820">
      <c r="A820" s="175"/>
      <c r="B820" s="175"/>
      <c r="C820" s="175"/>
      <c r="D820" s="175"/>
      <c r="E820" s="175"/>
      <c r="F820" s="175"/>
      <c r="G820" s="175"/>
      <c r="H820" s="175"/>
      <c r="I820" s="175"/>
      <c r="J820" s="175"/>
      <c r="K820" s="175"/>
      <c r="L820" s="175"/>
      <c r="M820" s="175"/>
      <c r="N820" s="175"/>
      <c r="O820" s="175"/>
      <c r="P820" s="175"/>
    </row>
    <row r="821">
      <c r="A821" s="175"/>
      <c r="B821" s="175"/>
      <c r="C821" s="175"/>
      <c r="D821" s="175"/>
      <c r="E821" s="175"/>
      <c r="F821" s="175"/>
      <c r="G821" s="175"/>
      <c r="H821" s="175"/>
      <c r="I821" s="175"/>
      <c r="J821" s="175"/>
      <c r="K821" s="175"/>
      <c r="L821" s="175"/>
      <c r="M821" s="175"/>
      <c r="N821" s="175"/>
      <c r="O821" s="175"/>
      <c r="P821" s="175"/>
    </row>
    <row r="822">
      <c r="A822" s="175"/>
      <c r="B822" s="175"/>
      <c r="C822" s="175"/>
      <c r="D822" s="175"/>
      <c r="E822" s="175"/>
      <c r="F822" s="175"/>
      <c r="G822" s="175"/>
      <c r="H822" s="175"/>
      <c r="I822" s="175"/>
      <c r="J822" s="175"/>
      <c r="K822" s="175"/>
      <c r="L822" s="175"/>
      <c r="M822" s="175"/>
      <c r="N822" s="175"/>
      <c r="O822" s="175"/>
      <c r="P822" s="175"/>
    </row>
    <row r="823">
      <c r="A823" s="175"/>
      <c r="B823" s="175"/>
      <c r="C823" s="175"/>
      <c r="D823" s="175"/>
      <c r="E823" s="175"/>
      <c r="F823" s="175"/>
      <c r="G823" s="175"/>
      <c r="H823" s="175"/>
      <c r="I823" s="175"/>
      <c r="J823" s="175"/>
      <c r="K823" s="175"/>
      <c r="L823" s="175"/>
      <c r="M823" s="175"/>
      <c r="N823" s="175"/>
      <c r="O823" s="175"/>
      <c r="P823" s="175"/>
    </row>
    <row r="824">
      <c r="A824" s="175"/>
      <c r="B824" s="175"/>
      <c r="C824" s="175"/>
      <c r="D824" s="175"/>
      <c r="E824" s="175"/>
      <c r="F824" s="175"/>
      <c r="G824" s="175"/>
      <c r="H824" s="175"/>
      <c r="I824" s="175"/>
      <c r="J824" s="175"/>
      <c r="K824" s="175"/>
      <c r="L824" s="175"/>
      <c r="M824" s="175"/>
      <c r="N824" s="175"/>
      <c r="O824" s="175"/>
      <c r="P824" s="175"/>
    </row>
    <row r="825">
      <c r="A825" s="175"/>
      <c r="B825" s="175"/>
      <c r="C825" s="175"/>
      <c r="D825" s="175"/>
      <c r="E825" s="175"/>
      <c r="F825" s="175"/>
      <c r="G825" s="175"/>
      <c r="H825" s="175"/>
      <c r="I825" s="175"/>
      <c r="J825" s="175"/>
      <c r="K825" s="175"/>
      <c r="L825" s="175"/>
      <c r="M825" s="175"/>
      <c r="N825" s="175"/>
      <c r="O825" s="175"/>
      <c r="P825" s="175"/>
    </row>
    <row r="826">
      <c r="A826" s="175"/>
      <c r="B826" s="175"/>
      <c r="C826" s="175"/>
      <c r="D826" s="175"/>
      <c r="E826" s="175"/>
      <c r="F826" s="175"/>
      <c r="G826" s="175"/>
      <c r="H826" s="175"/>
      <c r="I826" s="175"/>
      <c r="J826" s="175"/>
      <c r="K826" s="175"/>
      <c r="L826" s="175"/>
      <c r="M826" s="175"/>
      <c r="N826" s="175"/>
      <c r="O826" s="175"/>
      <c r="P826" s="175"/>
    </row>
    <row r="827">
      <c r="A827" s="175"/>
      <c r="B827" s="175"/>
      <c r="C827" s="175"/>
      <c r="D827" s="175"/>
      <c r="E827" s="175"/>
      <c r="F827" s="175"/>
      <c r="G827" s="175"/>
      <c r="H827" s="175"/>
      <c r="I827" s="175"/>
      <c r="J827" s="175"/>
      <c r="K827" s="175"/>
      <c r="L827" s="175"/>
      <c r="M827" s="175"/>
      <c r="N827" s="175"/>
      <c r="O827" s="175"/>
      <c r="P827" s="175"/>
    </row>
    <row r="828">
      <c r="A828" s="175"/>
      <c r="B828" s="175"/>
      <c r="C828" s="175"/>
      <c r="D828" s="175"/>
      <c r="E828" s="175"/>
      <c r="F828" s="175"/>
      <c r="G828" s="175"/>
      <c r="H828" s="175"/>
      <c r="I828" s="175"/>
      <c r="J828" s="175"/>
      <c r="K828" s="175"/>
      <c r="L828" s="175"/>
      <c r="M828" s="175"/>
      <c r="N828" s="175"/>
      <c r="O828" s="175"/>
      <c r="P828" s="175"/>
    </row>
    <row r="829">
      <c r="A829" s="175"/>
      <c r="B829" s="175"/>
      <c r="C829" s="175"/>
      <c r="D829" s="175"/>
      <c r="E829" s="175"/>
      <c r="F829" s="175"/>
      <c r="G829" s="175"/>
      <c r="H829" s="175"/>
      <c r="I829" s="175"/>
      <c r="J829" s="175"/>
      <c r="K829" s="175"/>
      <c r="L829" s="175"/>
      <c r="M829" s="175"/>
      <c r="N829" s="175"/>
      <c r="O829" s="175"/>
      <c r="P829" s="175"/>
    </row>
    <row r="830">
      <c r="A830" s="175"/>
      <c r="B830" s="175"/>
      <c r="C830" s="175"/>
      <c r="D830" s="175"/>
      <c r="E830" s="175"/>
      <c r="F830" s="175"/>
      <c r="G830" s="175"/>
      <c r="H830" s="175"/>
      <c r="I830" s="175"/>
      <c r="J830" s="175"/>
      <c r="K830" s="175"/>
      <c r="L830" s="175"/>
      <c r="M830" s="175"/>
      <c r="N830" s="175"/>
      <c r="O830" s="175"/>
      <c r="P830" s="175"/>
    </row>
    <row r="831">
      <c r="A831" s="175"/>
      <c r="B831" s="175"/>
      <c r="C831" s="175"/>
      <c r="D831" s="175"/>
      <c r="E831" s="175"/>
      <c r="F831" s="175"/>
      <c r="G831" s="175"/>
      <c r="H831" s="175"/>
      <c r="I831" s="175"/>
      <c r="J831" s="175"/>
      <c r="K831" s="175"/>
      <c r="L831" s="175"/>
      <c r="M831" s="175"/>
      <c r="N831" s="175"/>
      <c r="O831" s="175"/>
      <c r="P831" s="175"/>
    </row>
    <row r="832">
      <c r="A832" s="175"/>
      <c r="B832" s="175"/>
      <c r="C832" s="175"/>
      <c r="D832" s="175"/>
      <c r="E832" s="175"/>
      <c r="F832" s="175"/>
      <c r="G832" s="175"/>
      <c r="H832" s="175"/>
      <c r="I832" s="175"/>
      <c r="J832" s="175"/>
      <c r="K832" s="175"/>
      <c r="L832" s="175"/>
      <c r="M832" s="175"/>
      <c r="N832" s="175"/>
      <c r="O832" s="175"/>
      <c r="P832" s="175"/>
    </row>
    <row r="833">
      <c r="A833" s="175"/>
      <c r="B833" s="175"/>
      <c r="C833" s="175"/>
      <c r="D833" s="175"/>
      <c r="E833" s="175"/>
      <c r="F833" s="175"/>
      <c r="G833" s="175"/>
      <c r="H833" s="175"/>
      <c r="I833" s="175"/>
      <c r="J833" s="175"/>
      <c r="K833" s="175"/>
      <c r="L833" s="175"/>
      <c r="M833" s="175"/>
      <c r="N833" s="175"/>
      <c r="O833" s="175"/>
      <c r="P833" s="175"/>
    </row>
    <row r="834">
      <c r="A834" s="175"/>
      <c r="B834" s="175"/>
      <c r="C834" s="175"/>
      <c r="D834" s="175"/>
      <c r="E834" s="175"/>
      <c r="F834" s="175"/>
      <c r="G834" s="175"/>
      <c r="H834" s="175"/>
      <c r="I834" s="175"/>
      <c r="J834" s="175"/>
      <c r="K834" s="175"/>
      <c r="L834" s="175"/>
      <c r="M834" s="175"/>
      <c r="N834" s="175"/>
      <c r="O834" s="175"/>
      <c r="P834" s="175"/>
    </row>
    <row r="835">
      <c r="A835" s="175"/>
      <c r="B835" s="175"/>
      <c r="C835" s="175"/>
      <c r="D835" s="175"/>
      <c r="E835" s="175"/>
      <c r="F835" s="175"/>
      <c r="G835" s="175"/>
      <c r="H835" s="175"/>
      <c r="I835" s="175"/>
      <c r="J835" s="175"/>
      <c r="K835" s="175"/>
      <c r="L835" s="175"/>
      <c r="M835" s="175"/>
      <c r="N835" s="175"/>
      <c r="O835" s="175"/>
      <c r="P835" s="175"/>
    </row>
    <row r="836">
      <c r="A836" s="175"/>
      <c r="B836" s="175"/>
      <c r="C836" s="175"/>
      <c r="D836" s="175"/>
      <c r="E836" s="175"/>
      <c r="F836" s="175"/>
      <c r="G836" s="175"/>
      <c r="H836" s="175"/>
      <c r="I836" s="175"/>
      <c r="J836" s="175"/>
      <c r="K836" s="175"/>
      <c r="L836" s="175"/>
      <c r="M836" s="175"/>
      <c r="N836" s="175"/>
      <c r="O836" s="175"/>
      <c r="P836" s="175"/>
    </row>
    <row r="837">
      <c r="A837" s="175"/>
      <c r="B837" s="175"/>
      <c r="C837" s="175"/>
      <c r="D837" s="175"/>
      <c r="E837" s="175"/>
      <c r="F837" s="175"/>
      <c r="G837" s="175"/>
      <c r="H837" s="175"/>
      <c r="I837" s="175"/>
      <c r="J837" s="175"/>
      <c r="K837" s="175"/>
      <c r="L837" s="175"/>
      <c r="M837" s="175"/>
      <c r="N837" s="175"/>
      <c r="O837" s="175"/>
      <c r="P837" s="175"/>
    </row>
    <row r="838">
      <c r="A838" s="175"/>
      <c r="B838" s="175"/>
      <c r="C838" s="175"/>
      <c r="D838" s="175"/>
      <c r="E838" s="175"/>
      <c r="F838" s="175"/>
      <c r="G838" s="175"/>
      <c r="H838" s="175"/>
      <c r="I838" s="175"/>
      <c r="J838" s="175"/>
      <c r="K838" s="175"/>
      <c r="L838" s="175"/>
      <c r="M838" s="175"/>
      <c r="N838" s="175"/>
      <c r="O838" s="175"/>
      <c r="P838" s="175"/>
    </row>
    <row r="839">
      <c r="A839" s="175"/>
      <c r="B839" s="175"/>
      <c r="C839" s="175"/>
      <c r="D839" s="175"/>
      <c r="E839" s="175"/>
      <c r="F839" s="175"/>
      <c r="G839" s="175"/>
      <c r="H839" s="175"/>
      <c r="I839" s="175"/>
      <c r="J839" s="175"/>
      <c r="K839" s="175"/>
      <c r="L839" s="175"/>
      <c r="M839" s="175"/>
      <c r="N839" s="175"/>
      <c r="O839" s="175"/>
      <c r="P839" s="175"/>
    </row>
    <row r="840">
      <c r="A840" s="175"/>
      <c r="B840" s="175"/>
      <c r="C840" s="175"/>
      <c r="D840" s="175"/>
      <c r="E840" s="175"/>
      <c r="F840" s="175"/>
      <c r="G840" s="175"/>
      <c r="H840" s="175"/>
      <c r="I840" s="175"/>
      <c r="J840" s="175"/>
      <c r="K840" s="175"/>
      <c r="L840" s="175"/>
      <c r="M840" s="175"/>
      <c r="N840" s="175"/>
      <c r="O840" s="175"/>
      <c r="P840" s="175"/>
    </row>
    <row r="841">
      <c r="A841" s="175"/>
      <c r="B841" s="175"/>
      <c r="C841" s="175"/>
      <c r="D841" s="175"/>
      <c r="E841" s="175"/>
      <c r="F841" s="175"/>
      <c r="G841" s="175"/>
      <c r="H841" s="175"/>
      <c r="I841" s="175"/>
      <c r="J841" s="175"/>
      <c r="K841" s="175"/>
      <c r="L841" s="175"/>
      <c r="M841" s="175"/>
      <c r="N841" s="175"/>
      <c r="O841" s="175"/>
      <c r="P841" s="175"/>
    </row>
    <row r="842">
      <c r="A842" s="175"/>
      <c r="B842" s="175"/>
      <c r="C842" s="175"/>
      <c r="D842" s="175"/>
      <c r="E842" s="175"/>
      <c r="F842" s="175"/>
      <c r="G842" s="175"/>
      <c r="H842" s="175"/>
      <c r="I842" s="175"/>
      <c r="J842" s="175"/>
      <c r="K842" s="175"/>
      <c r="L842" s="175"/>
      <c r="M842" s="175"/>
      <c r="N842" s="175"/>
      <c r="O842" s="175"/>
      <c r="P842" s="175"/>
    </row>
    <row r="843">
      <c r="A843" s="175"/>
      <c r="B843" s="175"/>
      <c r="C843" s="175"/>
      <c r="D843" s="175"/>
      <c r="E843" s="175"/>
      <c r="F843" s="175"/>
      <c r="G843" s="175"/>
      <c r="H843" s="175"/>
      <c r="I843" s="175"/>
      <c r="J843" s="175"/>
      <c r="K843" s="175"/>
      <c r="L843" s="175"/>
      <c r="M843" s="175"/>
      <c r="N843" s="175"/>
      <c r="O843" s="175"/>
      <c r="P843" s="175"/>
    </row>
    <row r="844">
      <c r="A844" s="175"/>
      <c r="B844" s="175"/>
      <c r="C844" s="175"/>
      <c r="D844" s="175"/>
      <c r="E844" s="175"/>
      <c r="F844" s="175"/>
      <c r="G844" s="175"/>
      <c r="H844" s="175"/>
      <c r="I844" s="175"/>
      <c r="J844" s="175"/>
      <c r="K844" s="175"/>
      <c r="L844" s="175"/>
      <c r="M844" s="175"/>
      <c r="N844" s="175"/>
      <c r="O844" s="175"/>
      <c r="P844" s="175"/>
    </row>
    <row r="845">
      <c r="A845" s="175"/>
      <c r="B845" s="175"/>
      <c r="C845" s="175"/>
      <c r="D845" s="175"/>
      <c r="E845" s="175"/>
      <c r="F845" s="175"/>
      <c r="G845" s="175"/>
      <c r="H845" s="175"/>
      <c r="I845" s="175"/>
      <c r="J845" s="175"/>
      <c r="K845" s="175"/>
      <c r="L845" s="175"/>
      <c r="M845" s="175"/>
      <c r="N845" s="175"/>
      <c r="O845" s="175"/>
      <c r="P845" s="175"/>
    </row>
    <row r="846">
      <c r="A846" s="175"/>
      <c r="B846" s="175"/>
      <c r="C846" s="175"/>
      <c r="D846" s="175"/>
      <c r="E846" s="175"/>
      <c r="F846" s="175"/>
      <c r="G846" s="175"/>
      <c r="H846" s="175"/>
      <c r="I846" s="175"/>
      <c r="J846" s="175"/>
      <c r="K846" s="175"/>
      <c r="L846" s="175"/>
      <c r="M846" s="175"/>
      <c r="N846" s="175"/>
      <c r="O846" s="175"/>
      <c r="P846" s="175"/>
    </row>
    <row r="847">
      <c r="A847" s="175"/>
      <c r="B847" s="175"/>
      <c r="C847" s="175"/>
      <c r="D847" s="175"/>
      <c r="E847" s="175"/>
      <c r="F847" s="175"/>
      <c r="G847" s="175"/>
      <c r="H847" s="175"/>
      <c r="I847" s="175"/>
      <c r="J847" s="175"/>
      <c r="K847" s="175"/>
      <c r="L847" s="175"/>
      <c r="M847" s="175"/>
      <c r="N847" s="175"/>
      <c r="O847" s="175"/>
      <c r="P847" s="175"/>
    </row>
    <row r="848">
      <c r="A848" s="175"/>
      <c r="B848" s="175"/>
      <c r="C848" s="175"/>
      <c r="D848" s="175"/>
      <c r="E848" s="175"/>
      <c r="F848" s="175"/>
      <c r="G848" s="175"/>
      <c r="H848" s="175"/>
      <c r="I848" s="175"/>
      <c r="J848" s="175"/>
      <c r="K848" s="175"/>
      <c r="L848" s="175"/>
      <c r="M848" s="175"/>
      <c r="N848" s="175"/>
      <c r="O848" s="175"/>
      <c r="P848" s="175"/>
    </row>
    <row r="849">
      <c r="A849" s="175"/>
      <c r="B849" s="175"/>
      <c r="C849" s="175"/>
      <c r="D849" s="175"/>
      <c r="E849" s="175"/>
      <c r="F849" s="175"/>
      <c r="G849" s="175"/>
      <c r="H849" s="175"/>
      <c r="I849" s="175"/>
      <c r="J849" s="175"/>
      <c r="K849" s="175"/>
      <c r="L849" s="175"/>
      <c r="M849" s="175"/>
      <c r="N849" s="175"/>
      <c r="O849" s="175"/>
      <c r="P849" s="175"/>
    </row>
    <row r="850">
      <c r="A850" s="175"/>
      <c r="B850" s="175"/>
      <c r="C850" s="175"/>
      <c r="D850" s="175"/>
      <c r="E850" s="175"/>
      <c r="F850" s="175"/>
      <c r="G850" s="175"/>
      <c r="H850" s="175"/>
      <c r="I850" s="175"/>
      <c r="J850" s="175"/>
      <c r="K850" s="175"/>
      <c r="L850" s="175"/>
      <c r="M850" s="175"/>
      <c r="N850" s="175"/>
      <c r="O850" s="175"/>
      <c r="P850" s="175"/>
    </row>
    <row r="851">
      <c r="A851" s="175"/>
      <c r="B851" s="175"/>
      <c r="C851" s="175"/>
      <c r="D851" s="175"/>
      <c r="E851" s="175"/>
      <c r="F851" s="175"/>
      <c r="G851" s="175"/>
      <c r="H851" s="175"/>
      <c r="I851" s="175"/>
      <c r="J851" s="175"/>
      <c r="K851" s="175"/>
      <c r="L851" s="175"/>
      <c r="M851" s="175"/>
      <c r="N851" s="175"/>
      <c r="O851" s="175"/>
      <c r="P851" s="175"/>
    </row>
    <row r="852">
      <c r="A852" s="175"/>
      <c r="B852" s="175"/>
      <c r="C852" s="175"/>
      <c r="D852" s="175"/>
      <c r="E852" s="175"/>
      <c r="F852" s="175"/>
      <c r="G852" s="175"/>
      <c r="H852" s="175"/>
      <c r="I852" s="175"/>
      <c r="J852" s="175"/>
      <c r="K852" s="175"/>
      <c r="L852" s="175"/>
      <c r="M852" s="175"/>
      <c r="N852" s="175"/>
      <c r="O852" s="175"/>
      <c r="P852" s="175"/>
    </row>
    <row r="853">
      <c r="A853" s="175"/>
      <c r="B853" s="175"/>
      <c r="C853" s="175"/>
      <c r="D853" s="175"/>
      <c r="E853" s="175"/>
      <c r="F853" s="175"/>
      <c r="G853" s="175"/>
      <c r="H853" s="175"/>
      <c r="I853" s="175"/>
      <c r="J853" s="175"/>
      <c r="K853" s="175"/>
      <c r="L853" s="175"/>
      <c r="M853" s="175"/>
      <c r="N853" s="175"/>
      <c r="O853" s="175"/>
      <c r="P853" s="175"/>
    </row>
    <row r="854">
      <c r="A854" s="175"/>
      <c r="B854" s="175"/>
      <c r="C854" s="175"/>
      <c r="D854" s="175"/>
      <c r="E854" s="175"/>
      <c r="F854" s="175"/>
      <c r="G854" s="175"/>
      <c r="H854" s="175"/>
      <c r="I854" s="175"/>
      <c r="J854" s="175"/>
      <c r="K854" s="175"/>
      <c r="L854" s="175"/>
      <c r="M854" s="175"/>
      <c r="N854" s="175"/>
      <c r="O854" s="175"/>
      <c r="P854" s="175"/>
    </row>
    <row r="855">
      <c r="A855" s="175"/>
      <c r="B855" s="175"/>
      <c r="C855" s="175"/>
      <c r="D855" s="175"/>
      <c r="E855" s="175"/>
      <c r="F855" s="175"/>
      <c r="G855" s="175"/>
      <c r="H855" s="175"/>
      <c r="I855" s="175"/>
      <c r="J855" s="175"/>
      <c r="K855" s="175"/>
      <c r="L855" s="175"/>
      <c r="M855" s="175"/>
      <c r="N855" s="175"/>
      <c r="O855" s="175"/>
      <c r="P855" s="175"/>
    </row>
    <row r="856">
      <c r="A856" s="175"/>
      <c r="B856" s="175"/>
      <c r="C856" s="175"/>
      <c r="D856" s="175"/>
      <c r="E856" s="175"/>
      <c r="F856" s="175"/>
      <c r="G856" s="175"/>
      <c r="H856" s="175"/>
      <c r="I856" s="175"/>
      <c r="J856" s="175"/>
      <c r="K856" s="175"/>
      <c r="L856" s="175"/>
      <c r="M856" s="175"/>
      <c r="N856" s="175"/>
      <c r="O856" s="175"/>
      <c r="P856" s="175"/>
    </row>
    <row r="857">
      <c r="A857" s="175"/>
      <c r="B857" s="175"/>
      <c r="C857" s="175"/>
      <c r="D857" s="175"/>
      <c r="E857" s="175"/>
      <c r="F857" s="175"/>
      <c r="G857" s="175"/>
      <c r="H857" s="175"/>
      <c r="I857" s="175"/>
      <c r="J857" s="175"/>
      <c r="K857" s="175"/>
      <c r="L857" s="175"/>
      <c r="M857" s="175"/>
      <c r="N857" s="175"/>
      <c r="O857" s="175"/>
      <c r="P857" s="175"/>
    </row>
    <row r="858">
      <c r="A858" s="175"/>
      <c r="B858" s="175"/>
      <c r="C858" s="175"/>
      <c r="D858" s="175"/>
      <c r="E858" s="175"/>
      <c r="F858" s="175"/>
      <c r="G858" s="175"/>
      <c r="H858" s="175"/>
      <c r="I858" s="175"/>
      <c r="J858" s="175"/>
      <c r="K858" s="175"/>
      <c r="L858" s="175"/>
      <c r="M858" s="175"/>
      <c r="N858" s="175"/>
      <c r="O858" s="175"/>
      <c r="P858" s="175"/>
    </row>
    <row r="859">
      <c r="A859" s="175"/>
      <c r="B859" s="175"/>
      <c r="C859" s="175"/>
      <c r="D859" s="175"/>
      <c r="E859" s="175"/>
      <c r="F859" s="175"/>
      <c r="G859" s="175"/>
      <c r="H859" s="175"/>
      <c r="I859" s="175"/>
      <c r="J859" s="175"/>
      <c r="K859" s="175"/>
      <c r="L859" s="175"/>
      <c r="M859" s="175"/>
      <c r="N859" s="175"/>
      <c r="O859" s="175"/>
      <c r="P859" s="175"/>
    </row>
    <row r="860">
      <c r="A860" s="175"/>
      <c r="B860" s="175"/>
      <c r="C860" s="175"/>
      <c r="D860" s="175"/>
      <c r="E860" s="175"/>
      <c r="F860" s="175"/>
      <c r="G860" s="175"/>
      <c r="H860" s="175"/>
      <c r="I860" s="175"/>
      <c r="J860" s="175"/>
      <c r="K860" s="175"/>
      <c r="L860" s="175"/>
      <c r="M860" s="175"/>
      <c r="N860" s="175"/>
      <c r="O860" s="175"/>
      <c r="P860" s="175"/>
    </row>
    <row r="861">
      <c r="A861" s="175"/>
      <c r="B861" s="175"/>
      <c r="C861" s="175"/>
      <c r="D861" s="175"/>
      <c r="E861" s="175"/>
      <c r="F861" s="175"/>
      <c r="G861" s="175"/>
      <c r="H861" s="175"/>
      <c r="I861" s="175"/>
      <c r="J861" s="175"/>
      <c r="K861" s="175"/>
      <c r="L861" s="175"/>
      <c r="M861" s="175"/>
      <c r="N861" s="175"/>
      <c r="O861" s="175"/>
      <c r="P861" s="175"/>
    </row>
    <row r="862">
      <c r="A862" s="175"/>
      <c r="B862" s="175"/>
      <c r="C862" s="175"/>
      <c r="D862" s="175"/>
      <c r="E862" s="175"/>
      <c r="F862" s="175"/>
      <c r="G862" s="175"/>
      <c r="H862" s="175"/>
      <c r="I862" s="175"/>
      <c r="J862" s="175"/>
      <c r="K862" s="175"/>
      <c r="L862" s="175"/>
      <c r="M862" s="175"/>
      <c r="N862" s="175"/>
      <c r="O862" s="175"/>
      <c r="P862" s="175"/>
    </row>
    <row r="863">
      <c r="A863" s="175"/>
      <c r="B863" s="175"/>
      <c r="C863" s="175"/>
      <c r="D863" s="175"/>
      <c r="E863" s="175"/>
      <c r="F863" s="175"/>
      <c r="G863" s="175"/>
      <c r="H863" s="175"/>
      <c r="I863" s="175"/>
      <c r="J863" s="175"/>
      <c r="K863" s="175"/>
      <c r="L863" s="175"/>
      <c r="M863" s="175"/>
      <c r="N863" s="175"/>
      <c r="O863" s="175"/>
      <c r="P863" s="175"/>
    </row>
    <row r="864">
      <c r="A864" s="175"/>
      <c r="B864" s="175"/>
      <c r="C864" s="175"/>
      <c r="D864" s="175"/>
      <c r="E864" s="175"/>
      <c r="F864" s="175"/>
      <c r="G864" s="175"/>
      <c r="H864" s="175"/>
      <c r="I864" s="175"/>
      <c r="J864" s="175"/>
      <c r="K864" s="175"/>
      <c r="L864" s="175"/>
      <c r="M864" s="175"/>
      <c r="N864" s="175"/>
      <c r="O864" s="175"/>
      <c r="P864" s="175"/>
    </row>
    <row r="865">
      <c r="A865" s="175"/>
      <c r="B865" s="175"/>
      <c r="C865" s="175"/>
      <c r="D865" s="175"/>
      <c r="E865" s="175"/>
      <c r="F865" s="175"/>
      <c r="G865" s="175"/>
      <c r="H865" s="175"/>
      <c r="I865" s="175"/>
      <c r="J865" s="175"/>
      <c r="K865" s="175"/>
      <c r="L865" s="175"/>
      <c r="M865" s="175"/>
      <c r="N865" s="175"/>
      <c r="O865" s="175"/>
      <c r="P865" s="175"/>
    </row>
    <row r="866">
      <c r="A866" s="175"/>
      <c r="B866" s="175"/>
      <c r="C866" s="175"/>
      <c r="D866" s="175"/>
      <c r="E866" s="175"/>
      <c r="F866" s="175"/>
      <c r="G866" s="175"/>
      <c r="H866" s="175"/>
      <c r="I866" s="175"/>
      <c r="J866" s="175"/>
      <c r="K866" s="175"/>
      <c r="L866" s="175"/>
      <c r="M866" s="175"/>
      <c r="N866" s="175"/>
      <c r="O866" s="175"/>
      <c r="P866" s="175"/>
    </row>
    <row r="867">
      <c r="A867" s="175"/>
      <c r="B867" s="175"/>
      <c r="C867" s="175"/>
      <c r="D867" s="175"/>
      <c r="E867" s="175"/>
      <c r="F867" s="175"/>
      <c r="G867" s="175"/>
      <c r="H867" s="175"/>
      <c r="I867" s="175"/>
      <c r="J867" s="175"/>
      <c r="K867" s="175"/>
      <c r="L867" s="175"/>
      <c r="M867" s="175"/>
      <c r="N867" s="175"/>
      <c r="O867" s="175"/>
      <c r="P867" s="175"/>
    </row>
    <row r="868">
      <c r="A868" s="175"/>
      <c r="B868" s="175"/>
      <c r="C868" s="175"/>
      <c r="D868" s="175"/>
      <c r="E868" s="175"/>
      <c r="F868" s="175"/>
      <c r="G868" s="175"/>
      <c r="H868" s="175"/>
      <c r="I868" s="175"/>
      <c r="J868" s="175"/>
      <c r="K868" s="175"/>
      <c r="L868" s="175"/>
      <c r="M868" s="175"/>
      <c r="N868" s="175"/>
      <c r="O868" s="175"/>
      <c r="P868" s="175"/>
    </row>
    <row r="869">
      <c r="A869" s="175"/>
      <c r="B869" s="175"/>
      <c r="C869" s="175"/>
      <c r="D869" s="175"/>
      <c r="E869" s="175"/>
      <c r="F869" s="175"/>
      <c r="G869" s="175"/>
      <c r="H869" s="175"/>
      <c r="I869" s="175"/>
      <c r="J869" s="175"/>
      <c r="K869" s="175"/>
      <c r="L869" s="175"/>
      <c r="M869" s="175"/>
      <c r="N869" s="175"/>
      <c r="O869" s="175"/>
      <c r="P869" s="175"/>
    </row>
    <row r="870">
      <c r="A870" s="175"/>
      <c r="B870" s="175"/>
      <c r="C870" s="175"/>
      <c r="D870" s="175"/>
      <c r="E870" s="175"/>
      <c r="F870" s="175"/>
      <c r="G870" s="175"/>
      <c r="H870" s="175"/>
      <c r="I870" s="175"/>
      <c r="J870" s="175"/>
      <c r="K870" s="175"/>
      <c r="L870" s="175"/>
      <c r="M870" s="175"/>
      <c r="N870" s="175"/>
      <c r="O870" s="175"/>
      <c r="P870" s="175"/>
    </row>
    <row r="871">
      <c r="A871" s="175"/>
      <c r="B871" s="175"/>
      <c r="C871" s="175"/>
      <c r="D871" s="175"/>
      <c r="E871" s="175"/>
      <c r="F871" s="175"/>
      <c r="G871" s="175"/>
      <c r="H871" s="175"/>
      <c r="I871" s="175"/>
      <c r="J871" s="175"/>
      <c r="K871" s="175"/>
      <c r="L871" s="175"/>
      <c r="M871" s="175"/>
      <c r="N871" s="175"/>
      <c r="O871" s="175"/>
      <c r="P871" s="175"/>
    </row>
    <row r="872">
      <c r="A872" s="175"/>
      <c r="B872" s="175"/>
      <c r="C872" s="175"/>
      <c r="D872" s="175"/>
      <c r="E872" s="175"/>
      <c r="F872" s="175"/>
      <c r="G872" s="175"/>
      <c r="H872" s="175"/>
      <c r="I872" s="175"/>
      <c r="J872" s="175"/>
      <c r="K872" s="175"/>
      <c r="L872" s="175"/>
      <c r="M872" s="175"/>
      <c r="N872" s="175"/>
      <c r="O872" s="175"/>
      <c r="P872" s="175"/>
    </row>
    <row r="873">
      <c r="A873" s="175"/>
      <c r="B873" s="175"/>
      <c r="C873" s="175"/>
      <c r="D873" s="175"/>
      <c r="E873" s="175"/>
      <c r="F873" s="175"/>
      <c r="G873" s="175"/>
      <c r="H873" s="175"/>
      <c r="I873" s="175"/>
      <c r="J873" s="175"/>
      <c r="K873" s="175"/>
      <c r="L873" s="175"/>
      <c r="M873" s="175"/>
      <c r="N873" s="175"/>
      <c r="O873" s="175"/>
      <c r="P873" s="175"/>
    </row>
    <row r="874">
      <c r="A874" s="175"/>
      <c r="B874" s="175"/>
      <c r="C874" s="175"/>
      <c r="D874" s="175"/>
      <c r="E874" s="175"/>
      <c r="F874" s="175"/>
      <c r="G874" s="175"/>
      <c r="H874" s="175"/>
      <c r="I874" s="175"/>
      <c r="J874" s="175"/>
      <c r="K874" s="175"/>
      <c r="L874" s="175"/>
      <c r="M874" s="175"/>
      <c r="N874" s="175"/>
      <c r="O874" s="175"/>
      <c r="P874" s="175"/>
    </row>
    <row r="875">
      <c r="A875" s="175"/>
      <c r="B875" s="175"/>
      <c r="C875" s="175"/>
      <c r="D875" s="175"/>
      <c r="E875" s="175"/>
      <c r="F875" s="175"/>
      <c r="G875" s="175"/>
      <c r="H875" s="175"/>
      <c r="I875" s="175"/>
      <c r="J875" s="175"/>
      <c r="K875" s="175"/>
      <c r="L875" s="175"/>
      <c r="M875" s="175"/>
      <c r="N875" s="175"/>
      <c r="O875" s="175"/>
      <c r="P875" s="175"/>
    </row>
    <row r="876">
      <c r="A876" s="175"/>
      <c r="B876" s="175"/>
      <c r="C876" s="175"/>
      <c r="D876" s="175"/>
      <c r="E876" s="175"/>
      <c r="F876" s="175"/>
      <c r="G876" s="175"/>
      <c r="H876" s="175"/>
      <c r="I876" s="175"/>
      <c r="J876" s="175"/>
      <c r="K876" s="175"/>
      <c r="L876" s="175"/>
      <c r="M876" s="175"/>
      <c r="N876" s="175"/>
      <c r="O876" s="175"/>
      <c r="P876" s="175"/>
    </row>
    <row r="877">
      <c r="A877" s="175"/>
      <c r="B877" s="175"/>
      <c r="C877" s="175"/>
      <c r="D877" s="175"/>
      <c r="E877" s="175"/>
      <c r="F877" s="175"/>
      <c r="G877" s="175"/>
      <c r="H877" s="175"/>
      <c r="I877" s="175"/>
      <c r="J877" s="175"/>
      <c r="K877" s="175"/>
      <c r="L877" s="175"/>
      <c r="M877" s="175"/>
      <c r="N877" s="175"/>
      <c r="O877" s="175"/>
      <c r="P877" s="175"/>
    </row>
    <row r="878">
      <c r="A878" s="175"/>
      <c r="B878" s="175"/>
      <c r="C878" s="175"/>
      <c r="D878" s="175"/>
      <c r="E878" s="175"/>
      <c r="F878" s="175"/>
      <c r="G878" s="175"/>
      <c r="H878" s="175"/>
      <c r="I878" s="175"/>
      <c r="J878" s="175"/>
      <c r="K878" s="175"/>
      <c r="L878" s="175"/>
      <c r="M878" s="175"/>
      <c r="N878" s="175"/>
      <c r="O878" s="175"/>
      <c r="P878" s="175"/>
    </row>
    <row r="879">
      <c r="A879" s="175"/>
      <c r="B879" s="175"/>
      <c r="C879" s="175"/>
      <c r="D879" s="175"/>
      <c r="E879" s="175"/>
      <c r="F879" s="175"/>
      <c r="G879" s="175"/>
      <c r="H879" s="175"/>
      <c r="I879" s="175"/>
      <c r="J879" s="175"/>
      <c r="K879" s="175"/>
      <c r="L879" s="175"/>
      <c r="M879" s="175"/>
      <c r="N879" s="175"/>
      <c r="O879" s="175"/>
      <c r="P879" s="175"/>
    </row>
    <row r="880">
      <c r="A880" s="175"/>
      <c r="B880" s="175"/>
      <c r="C880" s="175"/>
      <c r="D880" s="175"/>
      <c r="E880" s="175"/>
      <c r="F880" s="175"/>
      <c r="G880" s="175"/>
      <c r="H880" s="175"/>
      <c r="I880" s="175"/>
      <c r="J880" s="175"/>
      <c r="K880" s="175"/>
      <c r="L880" s="175"/>
      <c r="M880" s="175"/>
      <c r="N880" s="175"/>
      <c r="O880" s="175"/>
      <c r="P880" s="175"/>
    </row>
    <row r="881">
      <c r="A881" s="175"/>
      <c r="B881" s="175"/>
      <c r="C881" s="175"/>
      <c r="D881" s="175"/>
      <c r="E881" s="175"/>
      <c r="F881" s="175"/>
      <c r="G881" s="175"/>
      <c r="H881" s="175"/>
      <c r="I881" s="175"/>
      <c r="J881" s="175"/>
      <c r="K881" s="175"/>
      <c r="L881" s="175"/>
      <c r="M881" s="175"/>
      <c r="N881" s="175"/>
      <c r="O881" s="175"/>
      <c r="P881" s="175"/>
    </row>
    <row r="882">
      <c r="A882" s="175"/>
      <c r="B882" s="175"/>
      <c r="C882" s="175"/>
      <c r="D882" s="175"/>
      <c r="E882" s="175"/>
      <c r="F882" s="175"/>
      <c r="G882" s="175"/>
      <c r="H882" s="175"/>
      <c r="I882" s="175"/>
      <c r="J882" s="175"/>
      <c r="K882" s="175"/>
      <c r="L882" s="175"/>
      <c r="M882" s="175"/>
      <c r="N882" s="175"/>
      <c r="O882" s="175"/>
      <c r="P882" s="175"/>
    </row>
    <row r="883">
      <c r="A883" s="175"/>
      <c r="B883" s="175"/>
      <c r="C883" s="175"/>
      <c r="D883" s="175"/>
      <c r="E883" s="175"/>
      <c r="F883" s="175"/>
      <c r="G883" s="175"/>
      <c r="H883" s="175"/>
      <c r="I883" s="175"/>
      <c r="J883" s="175"/>
      <c r="K883" s="175"/>
      <c r="L883" s="175"/>
      <c r="M883" s="175"/>
      <c r="N883" s="175"/>
      <c r="O883" s="175"/>
      <c r="P883" s="175"/>
    </row>
    <row r="884">
      <c r="A884" s="175"/>
      <c r="B884" s="175"/>
      <c r="C884" s="175"/>
      <c r="D884" s="175"/>
      <c r="E884" s="175"/>
      <c r="F884" s="175"/>
      <c r="G884" s="175"/>
      <c r="H884" s="175"/>
      <c r="I884" s="175"/>
      <c r="J884" s="175"/>
      <c r="K884" s="175"/>
      <c r="L884" s="175"/>
      <c r="M884" s="175"/>
      <c r="N884" s="175"/>
      <c r="O884" s="175"/>
      <c r="P884" s="175"/>
    </row>
    <row r="885">
      <c r="A885" s="175"/>
      <c r="B885" s="175"/>
      <c r="C885" s="175"/>
      <c r="D885" s="175"/>
      <c r="E885" s="175"/>
      <c r="F885" s="175"/>
      <c r="G885" s="175"/>
      <c r="H885" s="175"/>
      <c r="I885" s="175"/>
      <c r="J885" s="175"/>
      <c r="K885" s="175"/>
      <c r="L885" s="175"/>
      <c r="M885" s="175"/>
      <c r="N885" s="175"/>
      <c r="O885" s="175"/>
      <c r="P885" s="175"/>
    </row>
    <row r="886">
      <c r="A886" s="175"/>
      <c r="B886" s="175"/>
      <c r="C886" s="175"/>
      <c r="D886" s="175"/>
      <c r="E886" s="175"/>
      <c r="F886" s="175"/>
      <c r="G886" s="175"/>
      <c r="H886" s="175"/>
      <c r="I886" s="175"/>
      <c r="J886" s="175"/>
      <c r="K886" s="175"/>
      <c r="L886" s="175"/>
      <c r="M886" s="175"/>
      <c r="N886" s="175"/>
      <c r="O886" s="175"/>
      <c r="P886" s="175"/>
    </row>
    <row r="887">
      <c r="A887" s="175"/>
      <c r="B887" s="175"/>
      <c r="C887" s="175"/>
      <c r="D887" s="175"/>
      <c r="E887" s="175"/>
      <c r="F887" s="175"/>
      <c r="G887" s="175"/>
      <c r="H887" s="175"/>
      <c r="I887" s="175"/>
      <c r="J887" s="175"/>
      <c r="K887" s="175"/>
      <c r="L887" s="175"/>
      <c r="M887" s="175"/>
      <c r="N887" s="175"/>
      <c r="O887" s="175"/>
      <c r="P887" s="175"/>
    </row>
    <row r="888">
      <c r="A888" s="175"/>
      <c r="B888" s="175"/>
      <c r="C888" s="175"/>
      <c r="D888" s="175"/>
      <c r="E888" s="175"/>
      <c r="F888" s="175"/>
      <c r="G888" s="175"/>
      <c r="H888" s="175"/>
      <c r="I888" s="175"/>
      <c r="J888" s="175"/>
      <c r="K888" s="175"/>
      <c r="L888" s="175"/>
      <c r="M888" s="175"/>
      <c r="N888" s="175"/>
      <c r="O888" s="175"/>
      <c r="P888" s="175"/>
    </row>
    <row r="889">
      <c r="A889" s="175"/>
      <c r="B889" s="175"/>
      <c r="C889" s="175"/>
      <c r="D889" s="175"/>
      <c r="E889" s="175"/>
      <c r="F889" s="175"/>
      <c r="G889" s="175"/>
      <c r="H889" s="175"/>
      <c r="I889" s="175"/>
      <c r="J889" s="175"/>
      <c r="K889" s="175"/>
      <c r="L889" s="175"/>
      <c r="M889" s="175"/>
      <c r="N889" s="175"/>
      <c r="O889" s="175"/>
      <c r="P889" s="175"/>
    </row>
    <row r="890">
      <c r="A890" s="175"/>
      <c r="B890" s="175"/>
      <c r="C890" s="175"/>
      <c r="D890" s="175"/>
      <c r="E890" s="175"/>
      <c r="F890" s="175"/>
      <c r="G890" s="175"/>
      <c r="H890" s="175"/>
      <c r="I890" s="175"/>
      <c r="J890" s="175"/>
      <c r="K890" s="175"/>
      <c r="L890" s="175"/>
      <c r="M890" s="175"/>
      <c r="N890" s="175"/>
      <c r="O890" s="175"/>
      <c r="P890" s="175"/>
    </row>
    <row r="891">
      <c r="A891" s="175"/>
      <c r="B891" s="175"/>
      <c r="C891" s="175"/>
      <c r="D891" s="175"/>
      <c r="E891" s="175"/>
      <c r="F891" s="175"/>
      <c r="G891" s="175"/>
      <c r="H891" s="175"/>
      <c r="I891" s="175"/>
      <c r="J891" s="175"/>
      <c r="K891" s="175"/>
      <c r="L891" s="175"/>
      <c r="M891" s="175"/>
      <c r="N891" s="175"/>
      <c r="O891" s="175"/>
      <c r="P891" s="175"/>
    </row>
    <row r="892">
      <c r="A892" s="175"/>
      <c r="B892" s="175"/>
      <c r="C892" s="175"/>
      <c r="D892" s="175"/>
      <c r="E892" s="175"/>
      <c r="F892" s="175"/>
      <c r="G892" s="175"/>
      <c r="H892" s="175"/>
      <c r="I892" s="175"/>
      <c r="J892" s="175"/>
      <c r="K892" s="175"/>
      <c r="L892" s="175"/>
      <c r="M892" s="175"/>
      <c r="N892" s="175"/>
      <c r="O892" s="175"/>
      <c r="P892" s="175"/>
    </row>
    <row r="893">
      <c r="A893" s="175"/>
      <c r="B893" s="175"/>
      <c r="C893" s="175"/>
      <c r="D893" s="175"/>
      <c r="E893" s="175"/>
      <c r="F893" s="175"/>
      <c r="G893" s="175"/>
      <c r="H893" s="175"/>
      <c r="I893" s="175"/>
      <c r="J893" s="175"/>
      <c r="K893" s="175"/>
      <c r="L893" s="175"/>
      <c r="M893" s="175"/>
      <c r="N893" s="175"/>
      <c r="O893" s="175"/>
      <c r="P893" s="175"/>
    </row>
    <row r="894">
      <c r="A894" s="175"/>
      <c r="B894" s="175"/>
      <c r="C894" s="175"/>
      <c r="D894" s="175"/>
      <c r="E894" s="175"/>
      <c r="F894" s="175"/>
      <c r="G894" s="175"/>
      <c r="H894" s="175"/>
      <c r="I894" s="175"/>
      <c r="J894" s="175"/>
      <c r="K894" s="175"/>
      <c r="L894" s="175"/>
      <c r="M894" s="175"/>
      <c r="N894" s="175"/>
      <c r="O894" s="175"/>
      <c r="P894" s="175"/>
    </row>
    <row r="895">
      <c r="A895" s="175"/>
      <c r="B895" s="175"/>
      <c r="C895" s="175"/>
      <c r="D895" s="175"/>
      <c r="E895" s="175"/>
      <c r="F895" s="175"/>
      <c r="G895" s="175"/>
      <c r="H895" s="175"/>
      <c r="I895" s="175"/>
      <c r="J895" s="175"/>
      <c r="K895" s="175"/>
      <c r="L895" s="175"/>
      <c r="M895" s="175"/>
      <c r="N895" s="175"/>
      <c r="O895" s="175"/>
      <c r="P895" s="175"/>
    </row>
    <row r="896">
      <c r="A896" s="175"/>
      <c r="B896" s="175"/>
      <c r="C896" s="175"/>
      <c r="D896" s="175"/>
      <c r="E896" s="175"/>
      <c r="F896" s="175"/>
      <c r="G896" s="175"/>
      <c r="H896" s="175"/>
      <c r="I896" s="175"/>
      <c r="J896" s="175"/>
      <c r="K896" s="175"/>
      <c r="L896" s="175"/>
      <c r="M896" s="175"/>
      <c r="N896" s="175"/>
      <c r="O896" s="175"/>
      <c r="P896" s="175"/>
    </row>
    <row r="897">
      <c r="A897" s="175"/>
      <c r="B897" s="175"/>
      <c r="C897" s="175"/>
      <c r="D897" s="175"/>
      <c r="E897" s="175"/>
      <c r="F897" s="175"/>
      <c r="G897" s="175"/>
      <c r="H897" s="175"/>
      <c r="I897" s="175"/>
      <c r="J897" s="175"/>
      <c r="K897" s="175"/>
      <c r="L897" s="175"/>
      <c r="M897" s="175"/>
      <c r="N897" s="175"/>
      <c r="O897" s="175"/>
      <c r="P897" s="175"/>
    </row>
    <row r="898">
      <c r="A898" s="175"/>
      <c r="B898" s="175"/>
      <c r="C898" s="175"/>
      <c r="D898" s="175"/>
      <c r="E898" s="175"/>
      <c r="F898" s="175"/>
      <c r="G898" s="175"/>
      <c r="H898" s="175"/>
      <c r="I898" s="175"/>
      <c r="J898" s="175"/>
      <c r="K898" s="175"/>
      <c r="L898" s="175"/>
      <c r="M898" s="175"/>
      <c r="N898" s="175"/>
      <c r="O898" s="175"/>
      <c r="P898" s="175"/>
    </row>
    <row r="899">
      <c r="A899" s="175"/>
      <c r="B899" s="175"/>
      <c r="C899" s="175"/>
      <c r="D899" s="175"/>
      <c r="E899" s="175"/>
      <c r="F899" s="175"/>
      <c r="G899" s="175"/>
      <c r="H899" s="175"/>
      <c r="I899" s="175"/>
      <c r="J899" s="175"/>
      <c r="K899" s="175"/>
      <c r="L899" s="175"/>
      <c r="M899" s="175"/>
      <c r="N899" s="175"/>
      <c r="O899" s="175"/>
      <c r="P899" s="175"/>
    </row>
    <row r="900">
      <c r="A900" s="175"/>
      <c r="B900" s="175"/>
      <c r="C900" s="175"/>
      <c r="D900" s="175"/>
      <c r="E900" s="175"/>
      <c r="F900" s="175"/>
      <c r="G900" s="175"/>
      <c r="H900" s="175"/>
      <c r="I900" s="175"/>
      <c r="J900" s="175"/>
      <c r="K900" s="175"/>
      <c r="L900" s="175"/>
      <c r="M900" s="175"/>
      <c r="N900" s="175"/>
      <c r="O900" s="175"/>
      <c r="P900" s="175"/>
    </row>
    <row r="901">
      <c r="A901" s="175"/>
      <c r="B901" s="175"/>
      <c r="C901" s="175"/>
      <c r="D901" s="175"/>
      <c r="E901" s="175"/>
      <c r="F901" s="175"/>
      <c r="G901" s="175"/>
      <c r="H901" s="175"/>
      <c r="I901" s="175"/>
      <c r="J901" s="175"/>
      <c r="K901" s="175"/>
      <c r="L901" s="175"/>
      <c r="M901" s="175"/>
      <c r="N901" s="175"/>
      <c r="O901" s="175"/>
      <c r="P901" s="175"/>
    </row>
    <row r="902">
      <c r="A902" s="175"/>
      <c r="B902" s="175"/>
      <c r="C902" s="175"/>
      <c r="D902" s="175"/>
      <c r="E902" s="175"/>
      <c r="F902" s="175"/>
      <c r="G902" s="175"/>
      <c r="H902" s="175"/>
      <c r="I902" s="175"/>
      <c r="J902" s="175"/>
      <c r="K902" s="175"/>
      <c r="L902" s="175"/>
      <c r="M902" s="175"/>
      <c r="N902" s="175"/>
      <c r="O902" s="175"/>
      <c r="P902" s="175"/>
    </row>
    <row r="903">
      <c r="A903" s="175"/>
      <c r="B903" s="175"/>
      <c r="C903" s="175"/>
      <c r="D903" s="175"/>
      <c r="E903" s="175"/>
      <c r="F903" s="175"/>
      <c r="G903" s="175"/>
      <c r="H903" s="175"/>
      <c r="I903" s="175"/>
      <c r="J903" s="175"/>
      <c r="K903" s="175"/>
      <c r="L903" s="175"/>
      <c r="M903" s="175"/>
      <c r="N903" s="175"/>
      <c r="O903" s="175"/>
      <c r="P903" s="175"/>
    </row>
    <row r="904">
      <c r="A904" s="175"/>
      <c r="B904" s="175"/>
      <c r="C904" s="175"/>
      <c r="D904" s="175"/>
      <c r="E904" s="175"/>
      <c r="F904" s="175"/>
      <c r="G904" s="175"/>
      <c r="H904" s="175"/>
      <c r="I904" s="175"/>
      <c r="J904" s="175"/>
      <c r="K904" s="175"/>
      <c r="L904" s="175"/>
      <c r="M904" s="175"/>
      <c r="N904" s="175"/>
      <c r="O904" s="175"/>
      <c r="P904" s="175"/>
    </row>
    <row r="905">
      <c r="A905" s="175"/>
      <c r="B905" s="175"/>
      <c r="C905" s="175"/>
      <c r="D905" s="175"/>
      <c r="E905" s="175"/>
      <c r="F905" s="175"/>
      <c r="G905" s="175"/>
      <c r="H905" s="175"/>
      <c r="I905" s="175"/>
      <c r="J905" s="175"/>
      <c r="K905" s="175"/>
      <c r="L905" s="175"/>
      <c r="M905" s="175"/>
      <c r="N905" s="175"/>
      <c r="O905" s="175"/>
      <c r="P905" s="175"/>
    </row>
    <row r="906">
      <c r="A906" s="175"/>
      <c r="B906" s="175"/>
      <c r="C906" s="175"/>
      <c r="D906" s="175"/>
      <c r="E906" s="175"/>
      <c r="F906" s="175"/>
      <c r="G906" s="175"/>
      <c r="H906" s="175"/>
      <c r="I906" s="175"/>
      <c r="J906" s="175"/>
      <c r="K906" s="175"/>
      <c r="L906" s="175"/>
      <c r="M906" s="175"/>
      <c r="N906" s="175"/>
      <c r="O906" s="175"/>
      <c r="P906" s="175"/>
    </row>
    <row r="907">
      <c r="A907" s="175"/>
      <c r="B907" s="175"/>
      <c r="C907" s="175"/>
      <c r="D907" s="175"/>
      <c r="E907" s="175"/>
      <c r="F907" s="175"/>
      <c r="G907" s="175"/>
      <c r="H907" s="175"/>
      <c r="I907" s="175"/>
      <c r="J907" s="175"/>
      <c r="K907" s="175"/>
      <c r="L907" s="175"/>
      <c r="M907" s="175"/>
      <c r="N907" s="175"/>
      <c r="O907" s="175"/>
      <c r="P907" s="175"/>
    </row>
    <row r="908">
      <c r="A908" s="175"/>
      <c r="B908" s="175"/>
      <c r="C908" s="175"/>
      <c r="D908" s="175"/>
      <c r="E908" s="175"/>
      <c r="F908" s="175"/>
      <c r="G908" s="175"/>
      <c r="H908" s="175"/>
      <c r="I908" s="175"/>
      <c r="J908" s="175"/>
      <c r="K908" s="175"/>
      <c r="L908" s="175"/>
      <c r="M908" s="175"/>
      <c r="N908" s="175"/>
      <c r="O908" s="175"/>
      <c r="P908" s="175"/>
    </row>
    <row r="909">
      <c r="A909" s="175"/>
      <c r="B909" s="175"/>
      <c r="C909" s="175"/>
      <c r="D909" s="175"/>
      <c r="E909" s="175"/>
      <c r="F909" s="175"/>
      <c r="G909" s="175"/>
      <c r="H909" s="175"/>
      <c r="I909" s="175"/>
      <c r="J909" s="175"/>
      <c r="K909" s="175"/>
      <c r="L909" s="175"/>
      <c r="M909" s="175"/>
      <c r="N909" s="175"/>
      <c r="O909" s="175"/>
      <c r="P909" s="175"/>
    </row>
    <row r="910">
      <c r="A910" s="175"/>
      <c r="B910" s="175"/>
      <c r="C910" s="175"/>
      <c r="D910" s="175"/>
      <c r="E910" s="175"/>
      <c r="F910" s="175"/>
      <c r="G910" s="175"/>
      <c r="H910" s="175"/>
      <c r="I910" s="175"/>
      <c r="J910" s="175"/>
      <c r="K910" s="175"/>
      <c r="L910" s="175"/>
      <c r="M910" s="175"/>
      <c r="N910" s="175"/>
      <c r="O910" s="175"/>
      <c r="P910" s="175"/>
    </row>
    <row r="911">
      <c r="A911" s="175"/>
      <c r="B911" s="175"/>
      <c r="C911" s="175"/>
      <c r="D911" s="175"/>
      <c r="E911" s="175"/>
      <c r="F911" s="175"/>
      <c r="G911" s="175"/>
      <c r="H911" s="175"/>
      <c r="I911" s="175"/>
      <c r="J911" s="175"/>
      <c r="K911" s="175"/>
      <c r="L911" s="175"/>
      <c r="M911" s="175"/>
      <c r="N911" s="175"/>
      <c r="O911" s="175"/>
      <c r="P911" s="175"/>
    </row>
    <row r="912">
      <c r="A912" s="175"/>
      <c r="B912" s="175"/>
      <c r="C912" s="175"/>
      <c r="D912" s="175"/>
      <c r="E912" s="175"/>
      <c r="F912" s="175"/>
      <c r="G912" s="175"/>
      <c r="H912" s="175"/>
      <c r="I912" s="175"/>
      <c r="J912" s="175"/>
      <c r="K912" s="175"/>
      <c r="L912" s="175"/>
      <c r="M912" s="175"/>
      <c r="N912" s="175"/>
      <c r="O912" s="175"/>
      <c r="P912" s="175"/>
    </row>
    <row r="913">
      <c r="A913" s="175"/>
      <c r="B913" s="175"/>
      <c r="C913" s="175"/>
      <c r="D913" s="175"/>
      <c r="E913" s="175"/>
      <c r="F913" s="175"/>
      <c r="G913" s="175"/>
      <c r="H913" s="175"/>
      <c r="I913" s="175"/>
      <c r="J913" s="175"/>
      <c r="K913" s="175"/>
      <c r="L913" s="175"/>
      <c r="M913" s="175"/>
      <c r="N913" s="175"/>
      <c r="O913" s="175"/>
      <c r="P913" s="175"/>
    </row>
    <row r="914">
      <c r="A914" s="175"/>
      <c r="B914" s="175"/>
      <c r="C914" s="175"/>
      <c r="D914" s="175"/>
      <c r="E914" s="175"/>
      <c r="F914" s="175"/>
      <c r="G914" s="175"/>
      <c r="H914" s="175"/>
      <c r="I914" s="175"/>
      <c r="J914" s="175"/>
      <c r="K914" s="175"/>
      <c r="L914" s="175"/>
      <c r="M914" s="175"/>
      <c r="N914" s="175"/>
      <c r="O914" s="175"/>
      <c r="P914" s="175"/>
    </row>
    <row r="915">
      <c r="A915" s="175"/>
      <c r="B915" s="175"/>
      <c r="C915" s="175"/>
      <c r="D915" s="175"/>
      <c r="E915" s="175"/>
      <c r="F915" s="175"/>
      <c r="G915" s="175"/>
      <c r="H915" s="175"/>
      <c r="I915" s="175"/>
      <c r="J915" s="175"/>
      <c r="K915" s="175"/>
      <c r="L915" s="175"/>
      <c r="M915" s="175"/>
      <c r="N915" s="175"/>
      <c r="O915" s="175"/>
      <c r="P915" s="175"/>
    </row>
    <row r="916">
      <c r="A916" s="175"/>
      <c r="B916" s="175"/>
      <c r="C916" s="175"/>
      <c r="D916" s="175"/>
      <c r="E916" s="175"/>
      <c r="F916" s="175"/>
      <c r="G916" s="175"/>
      <c r="H916" s="175"/>
      <c r="I916" s="175"/>
      <c r="J916" s="175"/>
      <c r="K916" s="175"/>
      <c r="L916" s="175"/>
      <c r="M916" s="175"/>
      <c r="N916" s="175"/>
      <c r="O916" s="175"/>
      <c r="P916" s="175"/>
    </row>
    <row r="917">
      <c r="A917" s="175"/>
      <c r="B917" s="175"/>
      <c r="C917" s="175"/>
      <c r="D917" s="175"/>
      <c r="E917" s="175"/>
      <c r="F917" s="175"/>
      <c r="G917" s="175"/>
      <c r="H917" s="175"/>
      <c r="I917" s="175"/>
      <c r="J917" s="175"/>
      <c r="K917" s="175"/>
      <c r="L917" s="175"/>
      <c r="M917" s="175"/>
      <c r="N917" s="175"/>
      <c r="O917" s="175"/>
      <c r="P917" s="175"/>
    </row>
    <row r="918">
      <c r="A918" s="175"/>
      <c r="B918" s="175"/>
      <c r="C918" s="175"/>
      <c r="D918" s="175"/>
      <c r="E918" s="175"/>
      <c r="F918" s="175"/>
      <c r="G918" s="175"/>
      <c r="H918" s="175"/>
      <c r="I918" s="175"/>
      <c r="J918" s="175"/>
      <c r="K918" s="175"/>
      <c r="L918" s="175"/>
      <c r="M918" s="175"/>
      <c r="N918" s="175"/>
      <c r="O918" s="175"/>
      <c r="P918" s="175"/>
    </row>
    <row r="919">
      <c r="A919" s="175"/>
      <c r="B919" s="175"/>
      <c r="C919" s="175"/>
      <c r="D919" s="175"/>
      <c r="E919" s="175"/>
      <c r="F919" s="175"/>
      <c r="G919" s="175"/>
      <c r="H919" s="175"/>
      <c r="I919" s="175"/>
      <c r="J919" s="175"/>
      <c r="K919" s="175"/>
      <c r="L919" s="175"/>
      <c r="M919" s="175"/>
      <c r="N919" s="175"/>
      <c r="O919" s="175"/>
      <c r="P919" s="175"/>
    </row>
    <row r="920">
      <c r="A920" s="175"/>
      <c r="B920" s="175"/>
      <c r="C920" s="175"/>
      <c r="D920" s="175"/>
      <c r="E920" s="175"/>
      <c r="F920" s="175"/>
      <c r="G920" s="175"/>
      <c r="H920" s="175"/>
      <c r="I920" s="175"/>
      <c r="J920" s="175"/>
      <c r="K920" s="175"/>
      <c r="L920" s="175"/>
      <c r="M920" s="175"/>
      <c r="N920" s="175"/>
      <c r="O920" s="175"/>
      <c r="P920" s="175"/>
    </row>
    <row r="921">
      <c r="A921" s="175"/>
      <c r="B921" s="175"/>
      <c r="C921" s="175"/>
      <c r="D921" s="175"/>
      <c r="E921" s="175"/>
      <c r="F921" s="175"/>
      <c r="G921" s="175"/>
      <c r="H921" s="175"/>
      <c r="I921" s="175"/>
      <c r="J921" s="175"/>
      <c r="K921" s="175"/>
      <c r="L921" s="175"/>
      <c r="M921" s="175"/>
      <c r="N921" s="175"/>
      <c r="O921" s="175"/>
      <c r="P921" s="175"/>
    </row>
    <row r="922">
      <c r="A922" s="175"/>
      <c r="B922" s="175"/>
      <c r="C922" s="175"/>
      <c r="D922" s="175"/>
      <c r="E922" s="175"/>
      <c r="F922" s="175"/>
      <c r="G922" s="175"/>
      <c r="H922" s="175"/>
      <c r="I922" s="175"/>
      <c r="J922" s="175"/>
      <c r="K922" s="175"/>
      <c r="L922" s="175"/>
      <c r="M922" s="175"/>
      <c r="N922" s="175"/>
      <c r="O922" s="175"/>
      <c r="P922" s="175"/>
    </row>
    <row r="923">
      <c r="A923" s="175"/>
      <c r="B923" s="175"/>
      <c r="C923" s="175"/>
      <c r="D923" s="175"/>
      <c r="E923" s="175"/>
      <c r="F923" s="175"/>
      <c r="G923" s="175"/>
      <c r="H923" s="175"/>
      <c r="I923" s="175"/>
      <c r="J923" s="175"/>
      <c r="K923" s="175"/>
      <c r="L923" s="175"/>
      <c r="M923" s="175"/>
      <c r="N923" s="175"/>
      <c r="O923" s="175"/>
      <c r="P923" s="175"/>
    </row>
    <row r="924">
      <c r="A924" s="175"/>
      <c r="B924" s="175"/>
      <c r="C924" s="175"/>
      <c r="D924" s="175"/>
      <c r="E924" s="175"/>
      <c r="F924" s="175"/>
      <c r="G924" s="175"/>
      <c r="H924" s="175"/>
      <c r="I924" s="175"/>
      <c r="J924" s="175"/>
      <c r="K924" s="175"/>
      <c r="L924" s="175"/>
      <c r="M924" s="175"/>
      <c r="N924" s="175"/>
      <c r="O924" s="175"/>
      <c r="P924" s="175"/>
    </row>
    <row r="925">
      <c r="A925" s="175"/>
      <c r="B925" s="175"/>
      <c r="C925" s="175"/>
      <c r="D925" s="175"/>
      <c r="E925" s="175"/>
      <c r="F925" s="175"/>
      <c r="G925" s="175"/>
      <c r="H925" s="175"/>
      <c r="I925" s="175"/>
      <c r="J925" s="175"/>
      <c r="K925" s="175"/>
      <c r="L925" s="175"/>
      <c r="M925" s="175"/>
      <c r="N925" s="175"/>
      <c r="O925" s="175"/>
      <c r="P925" s="175"/>
    </row>
    <row r="926">
      <c r="A926" s="175"/>
      <c r="B926" s="175"/>
      <c r="C926" s="175"/>
      <c r="D926" s="175"/>
      <c r="E926" s="175"/>
      <c r="F926" s="175"/>
      <c r="G926" s="175"/>
      <c r="H926" s="175"/>
      <c r="I926" s="175"/>
      <c r="J926" s="175"/>
      <c r="K926" s="175"/>
      <c r="L926" s="175"/>
      <c r="M926" s="175"/>
      <c r="N926" s="175"/>
      <c r="O926" s="175"/>
      <c r="P926" s="175"/>
    </row>
    <row r="927">
      <c r="A927" s="175"/>
      <c r="B927" s="175"/>
      <c r="C927" s="175"/>
      <c r="D927" s="175"/>
      <c r="E927" s="175"/>
      <c r="F927" s="175"/>
      <c r="G927" s="175"/>
      <c r="H927" s="175"/>
      <c r="I927" s="175"/>
      <c r="J927" s="175"/>
      <c r="K927" s="175"/>
      <c r="L927" s="175"/>
      <c r="M927" s="175"/>
      <c r="N927" s="175"/>
      <c r="O927" s="175"/>
      <c r="P927" s="175"/>
    </row>
    <row r="928">
      <c r="A928" s="175"/>
      <c r="B928" s="175"/>
      <c r="C928" s="175"/>
      <c r="D928" s="175"/>
      <c r="E928" s="175"/>
      <c r="F928" s="175"/>
      <c r="G928" s="175"/>
      <c r="H928" s="175"/>
      <c r="I928" s="175"/>
      <c r="J928" s="175"/>
      <c r="K928" s="175"/>
      <c r="L928" s="175"/>
      <c r="M928" s="175"/>
      <c r="N928" s="175"/>
      <c r="O928" s="175"/>
      <c r="P928" s="175"/>
    </row>
    <row r="929">
      <c r="A929" s="175"/>
      <c r="B929" s="175"/>
      <c r="C929" s="175"/>
      <c r="D929" s="175"/>
      <c r="E929" s="175"/>
      <c r="F929" s="175"/>
      <c r="G929" s="175"/>
      <c r="H929" s="175"/>
      <c r="I929" s="175"/>
      <c r="J929" s="175"/>
      <c r="K929" s="175"/>
      <c r="L929" s="175"/>
      <c r="M929" s="175"/>
      <c r="N929" s="175"/>
      <c r="O929" s="175"/>
      <c r="P929" s="175"/>
    </row>
    <row r="930">
      <c r="A930" s="175"/>
      <c r="B930" s="175"/>
      <c r="C930" s="175"/>
      <c r="D930" s="175"/>
      <c r="E930" s="175"/>
      <c r="F930" s="175"/>
      <c r="G930" s="175"/>
      <c r="H930" s="175"/>
      <c r="I930" s="175"/>
      <c r="J930" s="175"/>
      <c r="K930" s="175"/>
      <c r="L930" s="175"/>
      <c r="M930" s="175"/>
      <c r="N930" s="175"/>
      <c r="O930" s="175"/>
      <c r="P930" s="175"/>
    </row>
    <row r="931">
      <c r="A931" s="175"/>
      <c r="B931" s="175"/>
      <c r="C931" s="175"/>
      <c r="D931" s="175"/>
      <c r="E931" s="175"/>
      <c r="F931" s="175"/>
      <c r="G931" s="175"/>
      <c r="H931" s="175"/>
      <c r="I931" s="175"/>
      <c r="J931" s="175"/>
      <c r="K931" s="175"/>
      <c r="L931" s="175"/>
      <c r="M931" s="175"/>
      <c r="N931" s="175"/>
      <c r="O931" s="175"/>
      <c r="P931" s="175"/>
    </row>
    <row r="932">
      <c r="A932" s="175"/>
      <c r="B932" s="175"/>
      <c r="C932" s="175"/>
      <c r="D932" s="175"/>
      <c r="E932" s="175"/>
      <c r="F932" s="175"/>
      <c r="G932" s="175"/>
      <c r="H932" s="175"/>
      <c r="I932" s="175"/>
      <c r="J932" s="175"/>
      <c r="K932" s="175"/>
      <c r="L932" s="175"/>
      <c r="M932" s="175"/>
      <c r="N932" s="175"/>
      <c r="O932" s="175"/>
      <c r="P932" s="175"/>
    </row>
    <row r="933">
      <c r="A933" s="175"/>
      <c r="B933" s="175"/>
      <c r="C933" s="175"/>
      <c r="D933" s="175"/>
      <c r="E933" s="175"/>
      <c r="F933" s="175"/>
      <c r="G933" s="175"/>
      <c r="H933" s="175"/>
      <c r="I933" s="175"/>
      <c r="J933" s="175"/>
      <c r="K933" s="175"/>
      <c r="L933" s="175"/>
      <c r="M933" s="175"/>
      <c r="N933" s="175"/>
      <c r="O933" s="175"/>
      <c r="P933" s="175"/>
    </row>
    <row r="934">
      <c r="A934" s="175"/>
      <c r="B934" s="175"/>
      <c r="C934" s="175"/>
      <c r="D934" s="175"/>
      <c r="E934" s="175"/>
      <c r="F934" s="175"/>
      <c r="G934" s="175"/>
      <c r="H934" s="175"/>
      <c r="I934" s="175"/>
      <c r="J934" s="175"/>
      <c r="K934" s="175"/>
      <c r="L934" s="175"/>
      <c r="M934" s="175"/>
      <c r="N934" s="175"/>
      <c r="O934" s="175"/>
      <c r="P934" s="175"/>
    </row>
    <row r="935">
      <c r="A935" s="175"/>
      <c r="B935" s="175"/>
      <c r="C935" s="175"/>
      <c r="D935" s="175"/>
      <c r="E935" s="175"/>
      <c r="F935" s="175"/>
      <c r="G935" s="175"/>
      <c r="H935" s="175"/>
      <c r="I935" s="175"/>
      <c r="J935" s="175"/>
      <c r="K935" s="175"/>
      <c r="L935" s="175"/>
      <c r="M935" s="175"/>
      <c r="N935" s="175"/>
      <c r="O935" s="175"/>
      <c r="P935" s="175"/>
    </row>
    <row r="936">
      <c r="A936" s="175"/>
      <c r="B936" s="175"/>
      <c r="C936" s="175"/>
      <c r="D936" s="175"/>
      <c r="E936" s="175"/>
      <c r="F936" s="175"/>
      <c r="G936" s="175"/>
      <c r="H936" s="175"/>
      <c r="I936" s="175"/>
      <c r="J936" s="175"/>
      <c r="K936" s="175"/>
      <c r="L936" s="175"/>
      <c r="M936" s="175"/>
      <c r="N936" s="175"/>
      <c r="O936" s="175"/>
      <c r="P936" s="175"/>
    </row>
    <row r="937">
      <c r="A937" s="175"/>
      <c r="B937" s="175"/>
      <c r="C937" s="175"/>
      <c r="D937" s="175"/>
      <c r="E937" s="175"/>
      <c r="F937" s="175"/>
      <c r="G937" s="175"/>
      <c r="H937" s="175"/>
      <c r="I937" s="175"/>
      <c r="J937" s="175"/>
      <c r="K937" s="175"/>
      <c r="L937" s="175"/>
      <c r="M937" s="175"/>
      <c r="N937" s="175"/>
      <c r="O937" s="175"/>
      <c r="P937" s="175"/>
    </row>
    <row r="938">
      <c r="A938" s="175"/>
      <c r="B938" s="175"/>
      <c r="C938" s="175"/>
      <c r="D938" s="175"/>
      <c r="E938" s="175"/>
      <c r="F938" s="175"/>
      <c r="G938" s="175"/>
      <c r="H938" s="175"/>
      <c r="I938" s="175"/>
      <c r="J938" s="175"/>
      <c r="K938" s="175"/>
      <c r="L938" s="175"/>
      <c r="M938" s="175"/>
      <c r="N938" s="175"/>
      <c r="O938" s="175"/>
      <c r="P938" s="175"/>
    </row>
    <row r="939">
      <c r="A939" s="175"/>
      <c r="B939" s="175"/>
      <c r="C939" s="175"/>
      <c r="D939" s="175"/>
      <c r="E939" s="175"/>
      <c r="F939" s="175"/>
      <c r="G939" s="175"/>
      <c r="H939" s="175"/>
      <c r="I939" s="175"/>
      <c r="J939" s="175"/>
      <c r="K939" s="175"/>
      <c r="L939" s="175"/>
      <c r="M939" s="175"/>
      <c r="N939" s="175"/>
      <c r="O939" s="175"/>
      <c r="P939" s="175"/>
    </row>
    <row r="940">
      <c r="A940" s="175"/>
      <c r="B940" s="175"/>
      <c r="C940" s="175"/>
      <c r="D940" s="175"/>
      <c r="E940" s="175"/>
      <c r="F940" s="175"/>
      <c r="G940" s="175"/>
      <c r="H940" s="175"/>
      <c r="I940" s="175"/>
      <c r="J940" s="175"/>
      <c r="K940" s="175"/>
      <c r="L940" s="175"/>
      <c r="M940" s="175"/>
      <c r="N940" s="175"/>
      <c r="O940" s="175"/>
      <c r="P940" s="175"/>
    </row>
    <row r="941">
      <c r="A941" s="175"/>
      <c r="B941" s="175"/>
      <c r="C941" s="175"/>
      <c r="D941" s="175"/>
      <c r="E941" s="175"/>
      <c r="F941" s="175"/>
      <c r="G941" s="175"/>
      <c r="H941" s="175"/>
      <c r="I941" s="175"/>
      <c r="J941" s="175"/>
      <c r="K941" s="175"/>
      <c r="L941" s="175"/>
      <c r="M941" s="175"/>
      <c r="N941" s="175"/>
      <c r="O941" s="175"/>
      <c r="P941" s="175"/>
    </row>
    <row r="942">
      <c r="A942" s="175"/>
      <c r="B942" s="175"/>
      <c r="C942" s="175"/>
      <c r="D942" s="175"/>
      <c r="E942" s="175"/>
      <c r="F942" s="175"/>
      <c r="G942" s="175"/>
      <c r="H942" s="175"/>
      <c r="I942" s="175"/>
      <c r="J942" s="175"/>
      <c r="K942" s="175"/>
      <c r="L942" s="175"/>
      <c r="M942" s="175"/>
      <c r="N942" s="175"/>
      <c r="O942" s="175"/>
      <c r="P942" s="175"/>
    </row>
    <row r="943">
      <c r="A943" s="175"/>
      <c r="B943" s="175"/>
      <c r="C943" s="175"/>
      <c r="D943" s="175"/>
      <c r="E943" s="175"/>
      <c r="F943" s="175"/>
      <c r="G943" s="175"/>
      <c r="H943" s="175"/>
      <c r="I943" s="175"/>
      <c r="J943" s="175"/>
      <c r="K943" s="175"/>
      <c r="L943" s="175"/>
      <c r="M943" s="175"/>
      <c r="N943" s="175"/>
      <c r="O943" s="175"/>
      <c r="P943" s="175"/>
    </row>
    <row r="944">
      <c r="A944" s="175"/>
      <c r="B944" s="175"/>
      <c r="C944" s="175"/>
      <c r="D944" s="175"/>
      <c r="E944" s="175"/>
      <c r="F944" s="175"/>
      <c r="G944" s="175"/>
      <c r="H944" s="175"/>
      <c r="I944" s="175"/>
      <c r="J944" s="175"/>
      <c r="K944" s="175"/>
      <c r="L944" s="175"/>
      <c r="M944" s="175"/>
      <c r="N944" s="175"/>
      <c r="O944" s="175"/>
      <c r="P944" s="175"/>
    </row>
    <row r="945">
      <c r="A945" s="175"/>
      <c r="B945" s="175"/>
      <c r="C945" s="175"/>
      <c r="D945" s="175"/>
      <c r="E945" s="175"/>
      <c r="F945" s="175"/>
      <c r="G945" s="175"/>
      <c r="H945" s="175"/>
      <c r="I945" s="175"/>
      <c r="J945" s="175"/>
      <c r="K945" s="175"/>
      <c r="L945" s="175"/>
      <c r="M945" s="175"/>
      <c r="N945" s="175"/>
      <c r="O945" s="175"/>
      <c r="P945" s="175"/>
    </row>
    <row r="946">
      <c r="A946" s="175"/>
      <c r="B946" s="175"/>
      <c r="C946" s="175"/>
      <c r="D946" s="175"/>
      <c r="E946" s="175"/>
      <c r="F946" s="175"/>
      <c r="G946" s="175"/>
      <c r="H946" s="175"/>
      <c r="I946" s="175"/>
      <c r="J946" s="175"/>
      <c r="K946" s="175"/>
      <c r="L946" s="175"/>
      <c r="M946" s="175"/>
      <c r="N946" s="175"/>
      <c r="O946" s="175"/>
      <c r="P946" s="175"/>
    </row>
    <row r="947">
      <c r="A947" s="175"/>
      <c r="B947" s="175"/>
      <c r="C947" s="175"/>
      <c r="D947" s="175"/>
      <c r="E947" s="175"/>
      <c r="F947" s="175"/>
      <c r="G947" s="175"/>
      <c r="H947" s="175"/>
      <c r="I947" s="175"/>
      <c r="J947" s="175"/>
      <c r="K947" s="175"/>
      <c r="L947" s="175"/>
      <c r="M947" s="175"/>
      <c r="N947" s="175"/>
      <c r="O947" s="175"/>
      <c r="P947" s="175"/>
    </row>
    <row r="948">
      <c r="A948" s="175"/>
      <c r="B948" s="175"/>
      <c r="C948" s="175"/>
      <c r="D948" s="175"/>
      <c r="E948" s="175"/>
      <c r="F948" s="175"/>
      <c r="G948" s="175"/>
      <c r="H948" s="175"/>
      <c r="I948" s="175"/>
      <c r="J948" s="175"/>
      <c r="K948" s="175"/>
      <c r="L948" s="175"/>
      <c r="M948" s="175"/>
      <c r="N948" s="175"/>
      <c r="O948" s="175"/>
      <c r="P948" s="175"/>
    </row>
    <row r="949">
      <c r="A949" s="175"/>
      <c r="B949" s="175"/>
      <c r="C949" s="175"/>
      <c r="D949" s="175"/>
      <c r="E949" s="175"/>
      <c r="F949" s="175"/>
      <c r="G949" s="175"/>
      <c r="H949" s="175"/>
      <c r="I949" s="175"/>
      <c r="J949" s="175"/>
      <c r="K949" s="175"/>
      <c r="L949" s="175"/>
      <c r="M949" s="175"/>
      <c r="N949" s="175"/>
      <c r="O949" s="175"/>
      <c r="P949" s="175"/>
    </row>
    <row r="950">
      <c r="A950" s="175"/>
      <c r="B950" s="175"/>
      <c r="C950" s="175"/>
      <c r="D950" s="175"/>
      <c r="E950" s="175"/>
      <c r="F950" s="175"/>
      <c r="G950" s="175"/>
      <c r="H950" s="175"/>
      <c r="I950" s="175"/>
      <c r="J950" s="175"/>
      <c r="K950" s="175"/>
      <c r="L950" s="175"/>
      <c r="M950" s="175"/>
      <c r="N950" s="175"/>
      <c r="O950" s="175"/>
      <c r="P950" s="175"/>
    </row>
    <row r="951">
      <c r="A951" s="175"/>
      <c r="B951" s="175"/>
      <c r="C951" s="175"/>
      <c r="D951" s="175"/>
      <c r="E951" s="175"/>
      <c r="F951" s="175"/>
      <c r="G951" s="175"/>
      <c r="H951" s="175"/>
      <c r="I951" s="175"/>
      <c r="J951" s="175"/>
      <c r="K951" s="175"/>
      <c r="L951" s="175"/>
      <c r="M951" s="175"/>
      <c r="N951" s="175"/>
      <c r="O951" s="175"/>
      <c r="P951" s="175"/>
    </row>
    <row r="952">
      <c r="A952" s="175"/>
      <c r="B952" s="175"/>
      <c r="C952" s="175"/>
      <c r="D952" s="175"/>
      <c r="E952" s="175"/>
      <c r="F952" s="175"/>
      <c r="G952" s="175"/>
      <c r="H952" s="175"/>
      <c r="I952" s="175"/>
      <c r="J952" s="175"/>
      <c r="K952" s="175"/>
      <c r="L952" s="175"/>
      <c r="M952" s="175"/>
      <c r="N952" s="175"/>
      <c r="O952" s="175"/>
      <c r="P952" s="175"/>
    </row>
    <row r="953">
      <c r="A953" s="175"/>
      <c r="B953" s="175"/>
      <c r="C953" s="175"/>
      <c r="D953" s="175"/>
      <c r="E953" s="175"/>
      <c r="F953" s="175"/>
      <c r="G953" s="175"/>
      <c r="H953" s="175"/>
      <c r="I953" s="175"/>
      <c r="J953" s="175"/>
      <c r="K953" s="175"/>
      <c r="L953" s="175"/>
      <c r="M953" s="175"/>
      <c r="N953" s="175"/>
      <c r="O953" s="175"/>
      <c r="P953" s="175"/>
    </row>
    <row r="954">
      <c r="A954" s="175"/>
      <c r="B954" s="175"/>
      <c r="C954" s="175"/>
      <c r="D954" s="175"/>
      <c r="E954" s="175"/>
      <c r="F954" s="175"/>
      <c r="G954" s="175"/>
      <c r="H954" s="175"/>
      <c r="I954" s="175"/>
      <c r="J954" s="175"/>
      <c r="K954" s="175"/>
      <c r="L954" s="175"/>
      <c r="M954" s="175"/>
      <c r="N954" s="175"/>
      <c r="O954" s="175"/>
      <c r="P954" s="175"/>
    </row>
    <row r="955">
      <c r="A955" s="175"/>
      <c r="B955" s="175"/>
      <c r="C955" s="175"/>
      <c r="D955" s="175"/>
      <c r="E955" s="175"/>
      <c r="F955" s="175"/>
      <c r="G955" s="175"/>
      <c r="H955" s="175"/>
      <c r="I955" s="175"/>
      <c r="J955" s="175"/>
      <c r="K955" s="175"/>
      <c r="L955" s="175"/>
      <c r="M955" s="175"/>
      <c r="N955" s="175"/>
      <c r="O955" s="175"/>
      <c r="P955" s="175"/>
    </row>
    <row r="956">
      <c r="A956" s="175"/>
      <c r="B956" s="175"/>
      <c r="C956" s="175"/>
      <c r="D956" s="175"/>
      <c r="E956" s="175"/>
      <c r="F956" s="175"/>
      <c r="G956" s="175"/>
      <c r="H956" s="175"/>
      <c r="I956" s="175"/>
      <c r="J956" s="175"/>
      <c r="K956" s="175"/>
      <c r="L956" s="175"/>
      <c r="M956" s="175"/>
      <c r="N956" s="175"/>
      <c r="O956" s="175"/>
      <c r="P956" s="175"/>
    </row>
    <row r="957">
      <c r="A957" s="175"/>
      <c r="B957" s="175"/>
      <c r="C957" s="175"/>
      <c r="D957" s="175"/>
      <c r="E957" s="175"/>
      <c r="F957" s="175"/>
      <c r="G957" s="175"/>
      <c r="H957" s="175"/>
      <c r="I957" s="175"/>
      <c r="J957" s="175"/>
      <c r="K957" s="175"/>
      <c r="L957" s="175"/>
      <c r="M957" s="175"/>
      <c r="N957" s="175"/>
      <c r="O957" s="175"/>
      <c r="P957" s="175"/>
    </row>
    <row r="958">
      <c r="A958" s="175"/>
      <c r="B958" s="175"/>
      <c r="C958" s="175"/>
      <c r="D958" s="175"/>
      <c r="E958" s="175"/>
      <c r="F958" s="175"/>
      <c r="G958" s="175"/>
      <c r="H958" s="175"/>
      <c r="I958" s="175"/>
      <c r="J958" s="175"/>
      <c r="K958" s="175"/>
      <c r="L958" s="175"/>
      <c r="M958" s="175"/>
      <c r="N958" s="175"/>
      <c r="O958" s="175"/>
      <c r="P958" s="175"/>
    </row>
    <row r="959">
      <c r="A959" s="175"/>
      <c r="B959" s="175"/>
      <c r="C959" s="175"/>
      <c r="D959" s="175"/>
      <c r="E959" s="175"/>
      <c r="F959" s="175"/>
      <c r="G959" s="175"/>
      <c r="H959" s="175"/>
      <c r="I959" s="175"/>
      <c r="J959" s="175"/>
      <c r="K959" s="175"/>
      <c r="L959" s="175"/>
      <c r="M959" s="175"/>
      <c r="N959" s="175"/>
      <c r="O959" s="175"/>
      <c r="P959" s="175"/>
    </row>
    <row r="960">
      <c r="A960" s="175"/>
      <c r="B960" s="175"/>
      <c r="C960" s="175"/>
      <c r="D960" s="175"/>
      <c r="E960" s="175"/>
      <c r="F960" s="175"/>
      <c r="G960" s="175"/>
      <c r="H960" s="175"/>
      <c r="I960" s="175"/>
      <c r="J960" s="175"/>
      <c r="K960" s="175"/>
      <c r="L960" s="175"/>
      <c r="M960" s="175"/>
      <c r="N960" s="175"/>
      <c r="O960" s="175"/>
      <c r="P960" s="175"/>
    </row>
    <row r="961">
      <c r="A961" s="175"/>
      <c r="B961" s="175"/>
      <c r="C961" s="175"/>
      <c r="D961" s="175"/>
      <c r="E961" s="175"/>
      <c r="F961" s="175"/>
      <c r="G961" s="175"/>
      <c r="H961" s="175"/>
      <c r="I961" s="175"/>
      <c r="J961" s="175"/>
      <c r="K961" s="175"/>
      <c r="L961" s="175"/>
      <c r="M961" s="175"/>
      <c r="N961" s="175"/>
      <c r="O961" s="175"/>
      <c r="P961" s="175"/>
    </row>
    <row r="962">
      <c r="A962" s="175"/>
      <c r="B962" s="175"/>
      <c r="C962" s="175"/>
      <c r="D962" s="175"/>
      <c r="E962" s="175"/>
      <c r="F962" s="175"/>
      <c r="G962" s="175"/>
      <c r="H962" s="175"/>
      <c r="I962" s="175"/>
      <c r="J962" s="175"/>
      <c r="K962" s="175"/>
      <c r="L962" s="175"/>
      <c r="M962" s="175"/>
      <c r="N962" s="175"/>
      <c r="O962" s="175"/>
      <c r="P962" s="175"/>
    </row>
    <row r="963">
      <c r="A963" s="175"/>
      <c r="B963" s="175"/>
      <c r="C963" s="175"/>
      <c r="D963" s="175"/>
      <c r="E963" s="175"/>
      <c r="F963" s="175"/>
      <c r="G963" s="175"/>
      <c r="H963" s="175"/>
      <c r="I963" s="175"/>
      <c r="J963" s="175"/>
      <c r="K963" s="175"/>
      <c r="L963" s="175"/>
      <c r="M963" s="175"/>
      <c r="N963" s="175"/>
      <c r="O963" s="175"/>
      <c r="P963" s="175"/>
    </row>
    <row r="964">
      <c r="A964" s="175"/>
      <c r="B964" s="175"/>
      <c r="C964" s="175"/>
      <c r="D964" s="175"/>
      <c r="E964" s="175"/>
      <c r="F964" s="175"/>
      <c r="G964" s="175"/>
      <c r="H964" s="175"/>
      <c r="I964" s="175"/>
      <c r="J964" s="175"/>
      <c r="K964" s="175"/>
      <c r="L964" s="175"/>
      <c r="M964" s="175"/>
      <c r="N964" s="175"/>
      <c r="O964" s="175"/>
      <c r="P964" s="175"/>
    </row>
    <row r="965">
      <c r="A965" s="175"/>
      <c r="B965" s="175"/>
      <c r="C965" s="175"/>
      <c r="D965" s="175"/>
      <c r="E965" s="175"/>
      <c r="F965" s="175"/>
      <c r="G965" s="175"/>
      <c r="H965" s="175"/>
      <c r="I965" s="175"/>
      <c r="J965" s="175"/>
      <c r="K965" s="175"/>
      <c r="L965" s="175"/>
      <c r="M965" s="175"/>
      <c r="N965" s="175"/>
      <c r="O965" s="175"/>
      <c r="P965" s="175"/>
    </row>
    <row r="966">
      <c r="A966" s="175"/>
      <c r="B966" s="175"/>
      <c r="C966" s="175"/>
      <c r="D966" s="175"/>
      <c r="E966" s="175"/>
      <c r="F966" s="175"/>
      <c r="G966" s="175"/>
      <c r="H966" s="175"/>
      <c r="I966" s="175"/>
      <c r="J966" s="175"/>
      <c r="K966" s="175"/>
      <c r="L966" s="175"/>
      <c r="M966" s="175"/>
      <c r="N966" s="175"/>
      <c r="O966" s="175"/>
      <c r="P966" s="175"/>
    </row>
    <row r="967">
      <c r="A967" s="175"/>
      <c r="B967" s="175"/>
      <c r="C967" s="175"/>
      <c r="D967" s="175"/>
      <c r="E967" s="175"/>
      <c r="F967" s="175"/>
      <c r="G967" s="175"/>
      <c r="H967" s="175"/>
      <c r="I967" s="175"/>
      <c r="J967" s="175"/>
      <c r="K967" s="175"/>
      <c r="L967" s="175"/>
      <c r="M967" s="175"/>
      <c r="N967" s="175"/>
      <c r="O967" s="175"/>
      <c r="P967" s="175"/>
    </row>
    <row r="968">
      <c r="A968" s="175"/>
      <c r="B968" s="175"/>
      <c r="C968" s="175"/>
      <c r="D968" s="175"/>
      <c r="E968" s="175"/>
      <c r="F968" s="175"/>
      <c r="G968" s="175"/>
      <c r="H968" s="175"/>
      <c r="I968" s="175"/>
      <c r="J968" s="175"/>
      <c r="K968" s="175"/>
      <c r="L968" s="175"/>
      <c r="M968" s="175"/>
      <c r="N968" s="175"/>
      <c r="O968" s="175"/>
      <c r="P968" s="175"/>
    </row>
    <row r="969">
      <c r="A969" s="175"/>
      <c r="B969" s="175"/>
      <c r="C969" s="175"/>
      <c r="D969" s="175"/>
      <c r="E969" s="175"/>
      <c r="F969" s="175"/>
      <c r="G969" s="175"/>
      <c r="H969" s="175"/>
      <c r="I969" s="175"/>
      <c r="J969" s="175"/>
      <c r="K969" s="175"/>
      <c r="L969" s="175"/>
      <c r="M969" s="175"/>
      <c r="N969" s="175"/>
      <c r="O969" s="175"/>
      <c r="P969" s="175"/>
    </row>
    <row r="970">
      <c r="A970" s="175"/>
      <c r="B970" s="175"/>
      <c r="C970" s="175"/>
      <c r="D970" s="175"/>
      <c r="E970" s="175"/>
      <c r="F970" s="175"/>
      <c r="G970" s="175"/>
      <c r="H970" s="175"/>
      <c r="I970" s="175"/>
      <c r="J970" s="175"/>
      <c r="K970" s="175"/>
      <c r="L970" s="175"/>
      <c r="M970" s="175"/>
      <c r="N970" s="175"/>
      <c r="O970" s="175"/>
      <c r="P970" s="175"/>
    </row>
    <row r="971">
      <c r="A971" s="175"/>
      <c r="B971" s="175"/>
      <c r="C971" s="175"/>
      <c r="D971" s="175"/>
      <c r="E971" s="175"/>
      <c r="F971" s="175"/>
      <c r="G971" s="175"/>
      <c r="H971" s="175"/>
      <c r="I971" s="175"/>
      <c r="J971" s="175"/>
      <c r="K971" s="175"/>
      <c r="L971" s="175"/>
      <c r="M971" s="175"/>
      <c r="N971" s="175"/>
      <c r="O971" s="175"/>
      <c r="P971" s="175"/>
    </row>
    <row r="972">
      <c r="A972" s="175"/>
      <c r="B972" s="175"/>
      <c r="C972" s="175"/>
      <c r="D972" s="175"/>
      <c r="E972" s="175"/>
      <c r="F972" s="175"/>
      <c r="G972" s="175"/>
      <c r="H972" s="175"/>
      <c r="I972" s="175"/>
      <c r="J972" s="175"/>
      <c r="K972" s="175"/>
      <c r="L972" s="175"/>
      <c r="M972" s="175"/>
      <c r="N972" s="175"/>
      <c r="O972" s="175"/>
      <c r="P972" s="175"/>
    </row>
    <row r="973">
      <c r="A973" s="175"/>
      <c r="B973" s="175"/>
      <c r="C973" s="175"/>
      <c r="D973" s="175"/>
      <c r="E973" s="175"/>
      <c r="F973" s="175"/>
      <c r="G973" s="175"/>
      <c r="H973" s="175"/>
      <c r="I973" s="175"/>
      <c r="J973" s="175"/>
      <c r="K973" s="175"/>
      <c r="L973" s="175"/>
      <c r="M973" s="175"/>
      <c r="N973" s="175"/>
      <c r="O973" s="175"/>
      <c r="P973" s="175"/>
    </row>
    <row r="974">
      <c r="A974" s="175"/>
      <c r="B974" s="175"/>
      <c r="C974" s="175"/>
      <c r="D974" s="175"/>
      <c r="E974" s="175"/>
      <c r="F974" s="175"/>
      <c r="G974" s="175"/>
      <c r="H974" s="175"/>
      <c r="I974" s="175"/>
      <c r="J974" s="175"/>
      <c r="K974" s="175"/>
      <c r="L974" s="175"/>
      <c r="M974" s="175"/>
      <c r="N974" s="175"/>
      <c r="O974" s="175"/>
      <c r="P974" s="175"/>
    </row>
    <row r="975">
      <c r="A975" s="175"/>
      <c r="B975" s="175"/>
      <c r="C975" s="175"/>
      <c r="D975" s="175"/>
      <c r="E975" s="175"/>
      <c r="F975" s="175"/>
      <c r="G975" s="175"/>
      <c r="H975" s="175"/>
      <c r="I975" s="175"/>
      <c r="J975" s="175"/>
      <c r="K975" s="175"/>
      <c r="L975" s="175"/>
      <c r="M975" s="175"/>
      <c r="N975" s="175"/>
      <c r="O975" s="175"/>
      <c r="P975" s="175"/>
    </row>
    <row r="976">
      <c r="A976" s="175"/>
      <c r="B976" s="175"/>
      <c r="C976" s="175"/>
      <c r="D976" s="175"/>
      <c r="E976" s="175"/>
      <c r="F976" s="175"/>
      <c r="G976" s="175"/>
      <c r="H976" s="175"/>
      <c r="I976" s="175"/>
      <c r="J976" s="175"/>
      <c r="K976" s="175"/>
      <c r="L976" s="175"/>
      <c r="M976" s="175"/>
      <c r="N976" s="175"/>
      <c r="O976" s="175"/>
      <c r="P976" s="175"/>
    </row>
    <row r="977">
      <c r="A977" s="175"/>
      <c r="B977" s="175"/>
      <c r="C977" s="175"/>
      <c r="D977" s="175"/>
      <c r="E977" s="175"/>
      <c r="F977" s="175"/>
      <c r="G977" s="175"/>
      <c r="H977" s="175"/>
      <c r="I977" s="175"/>
      <c r="J977" s="175"/>
      <c r="K977" s="175"/>
      <c r="L977" s="175"/>
      <c r="M977" s="175"/>
      <c r="N977" s="175"/>
      <c r="O977" s="175"/>
      <c r="P977" s="175"/>
    </row>
    <row r="978">
      <c r="A978" s="175"/>
      <c r="B978" s="175"/>
      <c r="C978" s="175"/>
      <c r="D978" s="175"/>
      <c r="E978" s="175"/>
      <c r="F978" s="175"/>
      <c r="G978" s="175"/>
      <c r="H978" s="175"/>
      <c r="I978" s="175"/>
      <c r="J978" s="175"/>
      <c r="K978" s="175"/>
      <c r="L978" s="175"/>
      <c r="M978" s="175"/>
      <c r="N978" s="175"/>
      <c r="O978" s="175"/>
      <c r="P978" s="175"/>
    </row>
    <row r="979">
      <c r="A979" s="175"/>
      <c r="B979" s="175"/>
      <c r="C979" s="175"/>
      <c r="D979" s="175"/>
      <c r="E979" s="175"/>
      <c r="F979" s="175"/>
      <c r="G979" s="175"/>
      <c r="H979" s="175"/>
      <c r="I979" s="175"/>
      <c r="J979" s="175"/>
      <c r="K979" s="175"/>
      <c r="L979" s="175"/>
      <c r="M979" s="175"/>
      <c r="N979" s="175"/>
      <c r="O979" s="175"/>
      <c r="P979" s="175"/>
    </row>
    <row r="980">
      <c r="A980" s="175"/>
      <c r="B980" s="175"/>
      <c r="C980" s="175"/>
      <c r="D980" s="175"/>
      <c r="E980" s="175"/>
      <c r="F980" s="175"/>
      <c r="G980" s="175"/>
      <c r="H980" s="175"/>
      <c r="I980" s="175"/>
      <c r="J980" s="175"/>
      <c r="K980" s="175"/>
      <c r="L980" s="175"/>
      <c r="M980" s="175"/>
      <c r="N980" s="175"/>
      <c r="O980" s="175"/>
      <c r="P980" s="175"/>
    </row>
    <row r="981">
      <c r="A981" s="175"/>
      <c r="B981" s="175"/>
      <c r="C981" s="175"/>
      <c r="D981" s="175"/>
      <c r="E981" s="175"/>
      <c r="F981" s="175"/>
      <c r="G981" s="175"/>
      <c r="H981" s="175"/>
      <c r="I981" s="175"/>
      <c r="J981" s="175"/>
      <c r="K981" s="175"/>
      <c r="L981" s="175"/>
      <c r="M981" s="175"/>
      <c r="N981" s="175"/>
      <c r="O981" s="175"/>
      <c r="P981" s="175"/>
    </row>
    <row r="982">
      <c r="A982" s="175"/>
      <c r="B982" s="175"/>
      <c r="C982" s="175"/>
      <c r="D982" s="175"/>
      <c r="E982" s="175"/>
      <c r="F982" s="175"/>
      <c r="G982" s="175"/>
      <c r="H982" s="175"/>
      <c r="I982" s="175"/>
      <c r="J982" s="175"/>
      <c r="K982" s="175"/>
      <c r="L982" s="175"/>
      <c r="M982" s="175"/>
      <c r="N982" s="175"/>
      <c r="O982" s="175"/>
      <c r="P982" s="175"/>
    </row>
    <row r="983">
      <c r="A983" s="175"/>
      <c r="B983" s="175"/>
      <c r="C983" s="175"/>
      <c r="D983" s="175"/>
      <c r="E983" s="175"/>
      <c r="F983" s="175"/>
      <c r="G983" s="175"/>
      <c r="H983" s="175"/>
      <c r="I983" s="175"/>
      <c r="J983" s="175"/>
      <c r="K983" s="175"/>
      <c r="L983" s="175"/>
      <c r="M983" s="175"/>
      <c r="N983" s="175"/>
      <c r="O983" s="175"/>
      <c r="P983" s="175"/>
    </row>
    <row r="984">
      <c r="A984" s="175"/>
      <c r="B984" s="175"/>
      <c r="C984" s="175"/>
      <c r="D984" s="175"/>
      <c r="E984" s="175"/>
      <c r="F984" s="175"/>
      <c r="G984" s="175"/>
      <c r="H984" s="175"/>
      <c r="I984" s="175"/>
      <c r="J984" s="175"/>
      <c r="K984" s="175"/>
      <c r="L984" s="175"/>
      <c r="M984" s="175"/>
      <c r="N984" s="175"/>
      <c r="O984" s="175"/>
      <c r="P984" s="175"/>
    </row>
    <row r="985">
      <c r="A985" s="175"/>
      <c r="B985" s="175"/>
      <c r="C985" s="175"/>
      <c r="D985" s="175"/>
      <c r="E985" s="175"/>
      <c r="F985" s="175"/>
      <c r="G985" s="175"/>
      <c r="H985" s="175"/>
      <c r="I985" s="175"/>
      <c r="J985" s="175"/>
      <c r="K985" s="175"/>
      <c r="L985" s="175"/>
      <c r="M985" s="175"/>
      <c r="N985" s="175"/>
      <c r="O985" s="175"/>
      <c r="P985" s="175"/>
    </row>
    <row r="986">
      <c r="A986" s="175"/>
      <c r="B986" s="175"/>
      <c r="C986" s="175"/>
      <c r="D986" s="175"/>
      <c r="E986" s="175"/>
      <c r="F986" s="175"/>
      <c r="G986" s="175"/>
      <c r="H986" s="175"/>
      <c r="I986" s="175"/>
      <c r="J986" s="175"/>
      <c r="K986" s="175"/>
      <c r="L986" s="175"/>
      <c r="M986" s="175"/>
      <c r="N986" s="175"/>
      <c r="O986" s="175"/>
      <c r="P986" s="175"/>
    </row>
    <row r="987">
      <c r="A987" s="175"/>
      <c r="B987" s="175"/>
      <c r="C987" s="175"/>
      <c r="D987" s="175"/>
      <c r="E987" s="175"/>
      <c r="F987" s="175"/>
      <c r="G987" s="175"/>
      <c r="H987" s="175"/>
      <c r="I987" s="175"/>
      <c r="J987" s="175"/>
      <c r="K987" s="175"/>
      <c r="L987" s="175"/>
      <c r="M987" s="175"/>
      <c r="N987" s="175"/>
      <c r="O987" s="175"/>
      <c r="P987" s="175"/>
    </row>
    <row r="988">
      <c r="A988" s="175"/>
      <c r="B988" s="175"/>
      <c r="C988" s="175"/>
      <c r="D988" s="175"/>
      <c r="E988" s="175"/>
      <c r="F988" s="175"/>
      <c r="G988" s="175"/>
      <c r="H988" s="175"/>
      <c r="I988" s="175"/>
      <c r="J988" s="175"/>
      <c r="K988" s="175"/>
      <c r="L988" s="175"/>
      <c r="M988" s="175"/>
      <c r="N988" s="175"/>
      <c r="O988" s="175"/>
      <c r="P988" s="175"/>
    </row>
    <row r="989">
      <c r="A989" s="175"/>
      <c r="B989" s="175"/>
      <c r="C989" s="175"/>
      <c r="D989" s="175"/>
      <c r="E989" s="175"/>
      <c r="F989" s="175"/>
      <c r="G989" s="175"/>
      <c r="H989" s="175"/>
      <c r="I989" s="175"/>
      <c r="J989" s="175"/>
      <c r="K989" s="175"/>
      <c r="L989" s="175"/>
      <c r="M989" s="175"/>
      <c r="N989" s="175"/>
      <c r="O989" s="175"/>
      <c r="P989" s="175"/>
    </row>
    <row r="990">
      <c r="A990" s="175"/>
      <c r="B990" s="175"/>
      <c r="C990" s="175"/>
      <c r="D990" s="175"/>
      <c r="E990" s="175"/>
      <c r="F990" s="175"/>
      <c r="G990" s="175"/>
      <c r="H990" s="175"/>
      <c r="I990" s="175"/>
      <c r="J990" s="175"/>
      <c r="K990" s="175"/>
      <c r="L990" s="175"/>
      <c r="M990" s="175"/>
      <c r="N990" s="175"/>
      <c r="O990" s="175"/>
      <c r="P990" s="175"/>
    </row>
    <row r="991">
      <c r="A991" s="175"/>
      <c r="B991" s="175"/>
      <c r="C991" s="175"/>
      <c r="D991" s="175"/>
      <c r="E991" s="175"/>
      <c r="F991" s="175"/>
      <c r="G991" s="175"/>
      <c r="H991" s="175"/>
      <c r="I991" s="175"/>
      <c r="J991" s="175"/>
      <c r="K991" s="175"/>
      <c r="L991" s="175"/>
      <c r="M991" s="175"/>
      <c r="N991" s="175"/>
      <c r="O991" s="175"/>
      <c r="P991" s="175"/>
    </row>
    <row r="992">
      <c r="A992" s="175"/>
      <c r="B992" s="175"/>
      <c r="C992" s="175"/>
      <c r="D992" s="175"/>
      <c r="E992" s="175"/>
      <c r="F992" s="175"/>
      <c r="G992" s="175"/>
      <c r="H992" s="175"/>
      <c r="I992" s="175"/>
      <c r="J992" s="175"/>
      <c r="K992" s="175"/>
      <c r="L992" s="175"/>
      <c r="M992" s="175"/>
      <c r="N992" s="175"/>
      <c r="O992" s="175"/>
      <c r="P992" s="175"/>
    </row>
    <row r="993">
      <c r="A993" s="175"/>
      <c r="B993" s="175"/>
      <c r="C993" s="175"/>
      <c r="D993" s="175"/>
      <c r="E993" s="175"/>
      <c r="F993" s="175"/>
      <c r="G993" s="175"/>
      <c r="H993" s="175"/>
      <c r="I993" s="175"/>
      <c r="J993" s="175"/>
      <c r="K993" s="175"/>
      <c r="L993" s="175"/>
      <c r="M993" s="175"/>
      <c r="N993" s="175"/>
      <c r="O993" s="175"/>
      <c r="P993" s="175"/>
    </row>
    <row r="994">
      <c r="A994" s="175"/>
      <c r="B994" s="175"/>
      <c r="C994" s="175"/>
      <c r="D994" s="175"/>
      <c r="E994" s="175"/>
      <c r="F994" s="175"/>
      <c r="G994" s="175"/>
      <c r="H994" s="175"/>
      <c r="I994" s="175"/>
      <c r="J994" s="175"/>
      <c r="K994" s="175"/>
      <c r="L994" s="175"/>
      <c r="M994" s="175"/>
      <c r="N994" s="175"/>
      <c r="O994" s="175"/>
      <c r="P994" s="175"/>
    </row>
    <row r="995">
      <c r="A995" s="175"/>
      <c r="B995" s="175"/>
      <c r="C995" s="175"/>
      <c r="D995" s="175"/>
      <c r="E995" s="175"/>
      <c r="F995" s="175"/>
      <c r="G995" s="175"/>
      <c r="H995" s="175"/>
      <c r="I995" s="175"/>
      <c r="J995" s="175"/>
      <c r="K995" s="175"/>
      <c r="L995" s="175"/>
      <c r="M995" s="175"/>
      <c r="N995" s="175"/>
      <c r="O995" s="175"/>
      <c r="P995" s="175"/>
    </row>
    <row r="996">
      <c r="A996" s="175"/>
      <c r="B996" s="175"/>
      <c r="C996" s="175"/>
      <c r="D996" s="175"/>
      <c r="E996" s="175"/>
      <c r="F996" s="175"/>
      <c r="G996" s="175"/>
      <c r="H996" s="175"/>
      <c r="I996" s="175"/>
      <c r="J996" s="175"/>
      <c r="K996" s="175"/>
      <c r="L996" s="175"/>
      <c r="M996" s="175"/>
      <c r="N996" s="175"/>
      <c r="O996" s="175"/>
      <c r="P996" s="175"/>
    </row>
    <row r="997">
      <c r="A997" s="175"/>
      <c r="B997" s="175"/>
      <c r="C997" s="175"/>
      <c r="D997" s="175"/>
      <c r="E997" s="175"/>
      <c r="F997" s="175"/>
      <c r="G997" s="175"/>
      <c r="H997" s="175"/>
      <c r="I997" s="175"/>
      <c r="J997" s="175"/>
      <c r="K997" s="175"/>
      <c r="L997" s="175"/>
      <c r="M997" s="175"/>
      <c r="N997" s="175"/>
      <c r="O997" s="175"/>
      <c r="P997" s="175"/>
    </row>
    <row r="998">
      <c r="A998" s="175"/>
      <c r="B998" s="175"/>
      <c r="C998" s="175"/>
      <c r="D998" s="175"/>
      <c r="E998" s="175"/>
      <c r="F998" s="175"/>
      <c r="G998" s="175"/>
      <c r="H998" s="175"/>
      <c r="I998" s="175"/>
      <c r="J998" s="175"/>
      <c r="K998" s="175"/>
      <c r="L998" s="175"/>
      <c r="M998" s="175"/>
      <c r="N998" s="175"/>
      <c r="O998" s="175"/>
      <c r="P998" s="175"/>
    </row>
    <row r="999">
      <c r="A999" s="175"/>
      <c r="B999" s="175"/>
      <c r="C999" s="175"/>
      <c r="D999" s="175"/>
      <c r="E999" s="175"/>
      <c r="F999" s="175"/>
      <c r="G999" s="175"/>
      <c r="H999" s="175"/>
      <c r="I999" s="175"/>
      <c r="J999" s="175"/>
      <c r="K999" s="175"/>
      <c r="L999" s="175"/>
      <c r="M999" s="175"/>
      <c r="N999" s="175"/>
      <c r="O999" s="175"/>
      <c r="P999" s="175"/>
    </row>
  </sheetData>
  <mergeCells count="1">
    <mergeCell ref="A1:P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63"/>
    <col customWidth="1" min="2" max="2" width="21.63"/>
    <col customWidth="1" min="3" max="3" width="65.75"/>
    <col customWidth="1" min="4" max="4" width="37.13"/>
    <col customWidth="1" min="5" max="6" width="24.63"/>
    <col customWidth="1" min="7" max="7" width="17.38"/>
  </cols>
  <sheetData>
    <row r="1">
      <c r="A1" s="176" t="s">
        <v>11</v>
      </c>
      <c r="B1" s="3"/>
      <c r="C1" s="3"/>
      <c r="D1" s="3"/>
      <c r="E1" s="3"/>
      <c r="F1" s="3"/>
      <c r="G1" s="4"/>
      <c r="H1" s="104"/>
      <c r="I1" s="104"/>
      <c r="J1" s="104"/>
      <c r="K1" s="104"/>
      <c r="L1" s="104"/>
      <c r="M1" s="104"/>
      <c r="N1" s="104"/>
      <c r="O1" s="104"/>
      <c r="P1" s="104"/>
      <c r="Q1" s="104"/>
      <c r="R1" s="104"/>
      <c r="S1" s="104"/>
      <c r="T1" s="104"/>
      <c r="U1" s="104"/>
      <c r="V1" s="104"/>
      <c r="W1" s="104"/>
      <c r="X1" s="104"/>
      <c r="Y1" s="104"/>
      <c r="Z1" s="104"/>
      <c r="AA1" s="104"/>
    </row>
    <row r="2">
      <c r="A2" s="177" t="s">
        <v>178</v>
      </c>
      <c r="B2" s="178" t="s">
        <v>485</v>
      </c>
      <c r="C2" s="177" t="s">
        <v>438</v>
      </c>
      <c r="D2" s="178" t="s">
        <v>440</v>
      </c>
      <c r="E2" s="178" t="s">
        <v>486</v>
      </c>
      <c r="F2" s="178" t="s">
        <v>448</v>
      </c>
      <c r="G2" s="178" t="s">
        <v>449</v>
      </c>
      <c r="H2" s="104"/>
      <c r="I2" s="104"/>
      <c r="J2" s="104"/>
      <c r="K2" s="104"/>
      <c r="L2" s="104"/>
      <c r="M2" s="104"/>
      <c r="N2" s="104"/>
      <c r="O2" s="104"/>
      <c r="P2" s="104"/>
      <c r="Q2" s="104"/>
      <c r="R2" s="104"/>
      <c r="S2" s="104"/>
      <c r="T2" s="104"/>
      <c r="U2" s="104"/>
      <c r="V2" s="104"/>
      <c r="W2" s="104"/>
      <c r="X2" s="104"/>
      <c r="Y2" s="104"/>
      <c r="Z2" s="104"/>
      <c r="AA2" s="104"/>
    </row>
    <row r="3">
      <c r="A3" s="127">
        <v>1.0</v>
      </c>
      <c r="B3" s="128">
        <v>45976.0</v>
      </c>
      <c r="C3" s="127" t="s">
        <v>487</v>
      </c>
      <c r="D3" s="127" t="s">
        <v>488</v>
      </c>
      <c r="E3" s="127" t="s">
        <v>489</v>
      </c>
      <c r="F3" s="119"/>
      <c r="G3" s="119"/>
      <c r="H3" s="104"/>
      <c r="I3" s="104"/>
      <c r="J3" s="104"/>
      <c r="K3" s="104"/>
      <c r="L3" s="104"/>
      <c r="M3" s="104"/>
      <c r="N3" s="104"/>
      <c r="O3" s="104"/>
      <c r="P3" s="104"/>
      <c r="Q3" s="104"/>
      <c r="R3" s="104"/>
      <c r="S3" s="104"/>
      <c r="T3" s="104"/>
      <c r="U3" s="104"/>
      <c r="V3" s="104"/>
      <c r="W3" s="104"/>
      <c r="X3" s="104"/>
      <c r="Y3" s="104"/>
      <c r="Z3" s="104"/>
      <c r="AA3" s="104"/>
    </row>
    <row r="4">
      <c r="A4" s="127">
        <v>2.0</v>
      </c>
      <c r="B4" s="128">
        <v>45984.0</v>
      </c>
      <c r="C4" s="127" t="s">
        <v>490</v>
      </c>
      <c r="D4" s="127" t="s">
        <v>491</v>
      </c>
      <c r="E4" s="127" t="s">
        <v>489</v>
      </c>
      <c r="F4" s="119"/>
      <c r="G4" s="119"/>
      <c r="H4" s="104"/>
      <c r="I4" s="104"/>
      <c r="J4" s="104"/>
      <c r="K4" s="104"/>
      <c r="L4" s="104"/>
      <c r="M4" s="104"/>
      <c r="N4" s="104"/>
      <c r="O4" s="104"/>
      <c r="P4" s="104"/>
      <c r="Q4" s="104"/>
      <c r="R4" s="104"/>
      <c r="S4" s="104"/>
      <c r="T4" s="104"/>
      <c r="U4" s="104"/>
      <c r="V4" s="104"/>
      <c r="W4" s="104"/>
      <c r="X4" s="104"/>
      <c r="Y4" s="104"/>
      <c r="Z4" s="104"/>
      <c r="AA4" s="104"/>
    </row>
    <row r="5">
      <c r="A5" s="127">
        <v>3.0</v>
      </c>
      <c r="B5" s="128">
        <v>45986.0</v>
      </c>
      <c r="C5" s="127" t="s">
        <v>492</v>
      </c>
      <c r="D5" s="127" t="s">
        <v>493</v>
      </c>
      <c r="E5" s="127" t="s">
        <v>489</v>
      </c>
      <c r="F5" s="119"/>
      <c r="G5" s="119"/>
      <c r="H5" s="104"/>
      <c r="I5" s="104"/>
      <c r="J5" s="104"/>
      <c r="K5" s="104"/>
      <c r="L5" s="104"/>
      <c r="M5" s="104"/>
      <c r="N5" s="104"/>
      <c r="O5" s="104"/>
      <c r="P5" s="104"/>
      <c r="Q5" s="104"/>
      <c r="R5" s="104"/>
      <c r="S5" s="104"/>
      <c r="T5" s="104"/>
      <c r="U5" s="104"/>
      <c r="V5" s="104"/>
      <c r="W5" s="104"/>
      <c r="X5" s="104"/>
      <c r="Y5" s="104"/>
      <c r="Z5" s="104"/>
      <c r="AA5" s="104"/>
    </row>
    <row r="6">
      <c r="A6" s="127">
        <v>4.0</v>
      </c>
      <c r="B6" s="128">
        <v>45999.0</v>
      </c>
      <c r="C6" s="127" t="s">
        <v>494</v>
      </c>
      <c r="D6" s="119"/>
      <c r="E6" s="127" t="s">
        <v>489</v>
      </c>
      <c r="F6" s="119"/>
      <c r="G6" s="119"/>
      <c r="H6" s="104"/>
      <c r="I6" s="104"/>
      <c r="J6" s="104"/>
      <c r="K6" s="104"/>
      <c r="L6" s="104"/>
      <c r="M6" s="104"/>
      <c r="N6" s="104"/>
      <c r="O6" s="104"/>
      <c r="P6" s="104"/>
      <c r="Q6" s="104"/>
      <c r="R6" s="104"/>
      <c r="S6" s="104"/>
      <c r="T6" s="104"/>
      <c r="U6" s="104"/>
      <c r="V6" s="104"/>
      <c r="W6" s="104"/>
      <c r="X6" s="104"/>
      <c r="Y6" s="104"/>
      <c r="Z6" s="104"/>
      <c r="AA6" s="104"/>
    </row>
    <row r="7">
      <c r="A7" s="127">
        <v>5.0</v>
      </c>
      <c r="B7" s="128">
        <v>46000.0</v>
      </c>
      <c r="C7" s="127" t="s">
        <v>495</v>
      </c>
      <c r="D7" s="119"/>
      <c r="E7" s="127" t="s">
        <v>489</v>
      </c>
      <c r="F7" s="119"/>
      <c r="G7" s="119"/>
      <c r="H7" s="104"/>
      <c r="I7" s="104"/>
      <c r="J7" s="104"/>
      <c r="K7" s="104"/>
      <c r="L7" s="104"/>
      <c r="M7" s="104"/>
      <c r="N7" s="104"/>
      <c r="O7" s="104"/>
      <c r="P7" s="104"/>
      <c r="Q7" s="104"/>
      <c r="R7" s="104"/>
      <c r="S7" s="104"/>
      <c r="T7" s="104"/>
      <c r="U7" s="104"/>
      <c r="V7" s="104"/>
      <c r="W7" s="104"/>
      <c r="X7" s="104"/>
      <c r="Y7" s="104"/>
      <c r="Z7" s="104"/>
      <c r="AA7" s="104"/>
    </row>
    <row r="8">
      <c r="A8" s="129">
        <v>6.0</v>
      </c>
      <c r="B8" s="130">
        <v>46009.0</v>
      </c>
      <c r="C8" s="127" t="s">
        <v>496</v>
      </c>
      <c r="D8" s="127" t="s">
        <v>497</v>
      </c>
      <c r="E8" s="127" t="s">
        <v>489</v>
      </c>
      <c r="F8" s="119"/>
      <c r="G8" s="119"/>
      <c r="H8" s="104"/>
      <c r="I8" s="104"/>
      <c r="J8" s="104"/>
      <c r="K8" s="104"/>
      <c r="L8" s="104"/>
      <c r="M8" s="104"/>
      <c r="N8" s="104"/>
      <c r="O8" s="104"/>
      <c r="P8" s="104"/>
      <c r="Q8" s="104"/>
      <c r="R8" s="104"/>
      <c r="S8" s="104"/>
      <c r="T8" s="104"/>
      <c r="U8" s="104"/>
      <c r="V8" s="104"/>
      <c r="W8" s="104"/>
      <c r="X8" s="104"/>
      <c r="Y8" s="104"/>
      <c r="Z8" s="104"/>
      <c r="AA8" s="104"/>
    </row>
    <row r="9">
      <c r="A9" s="9"/>
      <c r="B9" s="9"/>
      <c r="C9" s="127" t="s">
        <v>498</v>
      </c>
      <c r="D9" s="127" t="s">
        <v>499</v>
      </c>
      <c r="E9" s="127" t="s">
        <v>489</v>
      </c>
      <c r="F9" s="119"/>
      <c r="G9" s="119"/>
      <c r="H9" s="104"/>
      <c r="I9" s="104"/>
      <c r="J9" s="104"/>
      <c r="K9" s="104"/>
      <c r="L9" s="104"/>
      <c r="M9" s="104"/>
      <c r="N9" s="104"/>
      <c r="O9" s="104"/>
      <c r="P9" s="104"/>
      <c r="Q9" s="104"/>
      <c r="R9" s="104"/>
      <c r="S9" s="104"/>
      <c r="T9" s="104"/>
      <c r="U9" s="104"/>
      <c r="V9" s="104"/>
      <c r="W9" s="104"/>
      <c r="X9" s="104"/>
      <c r="Y9" s="104"/>
      <c r="Z9" s="104"/>
      <c r="AA9" s="104"/>
    </row>
    <row r="10">
      <c r="A10" s="127">
        <v>7.0</v>
      </c>
      <c r="B10" s="128">
        <v>46011.0</v>
      </c>
      <c r="C10" s="127" t="s">
        <v>500</v>
      </c>
      <c r="D10" s="127" t="s">
        <v>488</v>
      </c>
      <c r="E10" s="127" t="s">
        <v>489</v>
      </c>
      <c r="F10" s="119"/>
      <c r="G10" s="119"/>
      <c r="H10" s="104"/>
      <c r="I10" s="104"/>
      <c r="J10" s="104"/>
      <c r="K10" s="104"/>
      <c r="L10" s="104"/>
      <c r="M10" s="104"/>
      <c r="N10" s="104"/>
      <c r="O10" s="104"/>
      <c r="P10" s="104"/>
      <c r="Q10" s="104"/>
      <c r="R10" s="104"/>
      <c r="S10" s="104"/>
      <c r="T10" s="104"/>
      <c r="U10" s="104"/>
      <c r="V10" s="104"/>
      <c r="W10" s="104"/>
      <c r="X10" s="104"/>
      <c r="Y10" s="104"/>
      <c r="Z10" s="104"/>
      <c r="AA10" s="104"/>
    </row>
    <row r="11">
      <c r="A11" s="127">
        <v>8.0</v>
      </c>
      <c r="B11" s="128">
        <v>46014.0</v>
      </c>
      <c r="C11" s="127" t="s">
        <v>501</v>
      </c>
      <c r="D11" s="127" t="s">
        <v>497</v>
      </c>
      <c r="E11" s="127" t="s">
        <v>489</v>
      </c>
      <c r="F11" s="119"/>
      <c r="G11" s="119"/>
      <c r="H11" s="104"/>
      <c r="I11" s="104"/>
      <c r="J11" s="104"/>
      <c r="K11" s="104"/>
      <c r="L11" s="104"/>
      <c r="M11" s="104"/>
      <c r="N11" s="104"/>
      <c r="O11" s="104"/>
      <c r="P11" s="104"/>
      <c r="Q11" s="104"/>
      <c r="R11" s="104"/>
      <c r="S11" s="104"/>
      <c r="T11" s="104"/>
      <c r="U11" s="104"/>
      <c r="V11" s="104"/>
      <c r="W11" s="104"/>
      <c r="X11" s="104"/>
      <c r="Y11" s="104"/>
      <c r="Z11" s="104"/>
      <c r="AA11" s="104"/>
    </row>
    <row r="12">
      <c r="A12" s="179">
        <v>9.0</v>
      </c>
      <c r="B12" s="180">
        <v>46021.0</v>
      </c>
      <c r="C12" s="127" t="s">
        <v>502</v>
      </c>
      <c r="D12" s="127" t="s">
        <v>503</v>
      </c>
      <c r="E12" s="127" t="s">
        <v>489</v>
      </c>
      <c r="F12" s="119"/>
      <c r="G12" s="119"/>
      <c r="H12" s="104"/>
      <c r="I12" s="104"/>
      <c r="J12" s="104"/>
      <c r="K12" s="104"/>
      <c r="L12" s="104"/>
      <c r="M12" s="104"/>
      <c r="N12" s="104"/>
      <c r="O12" s="104"/>
      <c r="P12" s="104"/>
      <c r="Q12" s="104"/>
      <c r="R12" s="104"/>
      <c r="S12" s="104"/>
      <c r="T12" s="104"/>
      <c r="U12" s="104"/>
      <c r="V12" s="104"/>
      <c r="W12" s="104"/>
      <c r="X12" s="104"/>
      <c r="Y12" s="104"/>
      <c r="Z12" s="104"/>
      <c r="AA12" s="104"/>
    </row>
    <row r="13">
      <c r="A13" s="9"/>
      <c r="B13" s="9"/>
      <c r="C13" s="127" t="s">
        <v>504</v>
      </c>
      <c r="D13" s="127" t="s">
        <v>503</v>
      </c>
      <c r="E13" s="127" t="s">
        <v>489</v>
      </c>
      <c r="F13" s="119"/>
      <c r="G13" s="119"/>
      <c r="H13" s="104"/>
      <c r="I13" s="104"/>
      <c r="J13" s="104"/>
      <c r="K13" s="104"/>
      <c r="L13" s="104"/>
      <c r="M13" s="104"/>
      <c r="N13" s="104"/>
      <c r="O13" s="104"/>
      <c r="P13" s="104"/>
      <c r="Q13" s="104"/>
      <c r="R13" s="104"/>
      <c r="S13" s="104"/>
      <c r="T13" s="104"/>
      <c r="U13" s="104"/>
      <c r="V13" s="104"/>
      <c r="W13" s="104"/>
      <c r="X13" s="104"/>
      <c r="Y13" s="104"/>
      <c r="Z13" s="104"/>
      <c r="AA13" s="104"/>
    </row>
    <row r="14">
      <c r="A14" s="127">
        <v>10.0</v>
      </c>
      <c r="B14" s="128">
        <v>46022.0</v>
      </c>
      <c r="C14" s="127" t="s">
        <v>505</v>
      </c>
      <c r="D14" s="127" t="s">
        <v>497</v>
      </c>
      <c r="E14" s="127" t="s">
        <v>489</v>
      </c>
      <c r="F14" s="127" t="s">
        <v>506</v>
      </c>
      <c r="G14" s="119"/>
      <c r="H14" s="104"/>
      <c r="I14" s="104"/>
      <c r="J14" s="104"/>
      <c r="K14" s="104"/>
      <c r="L14" s="104"/>
      <c r="M14" s="104"/>
      <c r="N14" s="104"/>
      <c r="O14" s="104"/>
      <c r="P14" s="104"/>
      <c r="Q14" s="104"/>
      <c r="R14" s="104"/>
      <c r="S14" s="104"/>
      <c r="T14" s="104"/>
      <c r="U14" s="104"/>
      <c r="V14" s="104"/>
      <c r="W14" s="104"/>
      <c r="X14" s="104"/>
      <c r="Y14" s="104"/>
      <c r="Z14" s="104"/>
      <c r="AA14" s="104"/>
    </row>
    <row r="15">
      <c r="A15" s="181">
        <v>11.0</v>
      </c>
      <c r="B15" s="182">
        <v>46026.0</v>
      </c>
      <c r="C15" s="183" t="s">
        <v>507</v>
      </c>
      <c r="D15" s="183" t="s">
        <v>497</v>
      </c>
      <c r="E15" s="183" t="s">
        <v>489</v>
      </c>
      <c r="F15" s="181" t="s">
        <v>508</v>
      </c>
      <c r="G15" s="184"/>
      <c r="H15" s="185"/>
      <c r="I15" s="185"/>
      <c r="J15" s="185"/>
      <c r="K15" s="185"/>
      <c r="L15" s="185"/>
      <c r="M15" s="185"/>
      <c r="N15" s="185"/>
      <c r="O15" s="185"/>
      <c r="P15" s="185"/>
      <c r="Q15" s="185"/>
      <c r="R15" s="185"/>
      <c r="S15" s="185"/>
      <c r="T15" s="185"/>
      <c r="U15" s="185"/>
      <c r="V15" s="185"/>
      <c r="W15" s="185"/>
      <c r="X15" s="185"/>
      <c r="Y15" s="185"/>
      <c r="Z15" s="185"/>
      <c r="AA15" s="185"/>
    </row>
    <row r="16">
      <c r="A16" s="9"/>
      <c r="B16" s="9"/>
      <c r="C16" s="183" t="s">
        <v>509</v>
      </c>
      <c r="D16" s="183" t="s">
        <v>497</v>
      </c>
      <c r="E16" s="183" t="s">
        <v>489</v>
      </c>
      <c r="F16" s="9"/>
      <c r="G16" s="184"/>
      <c r="H16" s="185"/>
      <c r="I16" s="185"/>
      <c r="J16" s="185"/>
      <c r="K16" s="185"/>
      <c r="L16" s="185"/>
      <c r="M16" s="185"/>
      <c r="N16" s="185"/>
      <c r="O16" s="185"/>
      <c r="P16" s="185"/>
      <c r="Q16" s="185"/>
      <c r="R16" s="185"/>
      <c r="S16" s="185"/>
      <c r="T16" s="185"/>
      <c r="U16" s="185"/>
      <c r="V16" s="185"/>
      <c r="W16" s="185"/>
      <c r="X16" s="185"/>
      <c r="Y16" s="185"/>
      <c r="Z16" s="185"/>
      <c r="AA16" s="185"/>
    </row>
    <row r="17">
      <c r="A17" s="129">
        <v>12.0</v>
      </c>
      <c r="B17" s="131">
        <v>46029.0</v>
      </c>
      <c r="C17" s="127" t="s">
        <v>510</v>
      </c>
      <c r="D17" s="127" t="s">
        <v>511</v>
      </c>
      <c r="E17" s="127" t="s">
        <v>489</v>
      </c>
      <c r="F17" s="129" t="s">
        <v>512</v>
      </c>
      <c r="G17" s="127" t="s">
        <v>513</v>
      </c>
      <c r="H17" s="104"/>
      <c r="I17" s="104"/>
      <c r="J17" s="104"/>
      <c r="K17" s="104"/>
      <c r="L17" s="104"/>
      <c r="M17" s="104"/>
      <c r="N17" s="104"/>
      <c r="O17" s="104"/>
      <c r="P17" s="104"/>
      <c r="Q17" s="104"/>
      <c r="R17" s="104"/>
      <c r="S17" s="104"/>
      <c r="T17" s="104"/>
      <c r="U17" s="104"/>
      <c r="V17" s="104"/>
      <c r="W17" s="104"/>
      <c r="X17" s="104"/>
      <c r="Y17" s="104"/>
      <c r="Z17" s="104"/>
      <c r="AA17" s="104"/>
    </row>
    <row r="18">
      <c r="A18" s="9"/>
      <c r="B18" s="9"/>
      <c r="C18" s="127" t="s">
        <v>514</v>
      </c>
      <c r="D18" s="127" t="s">
        <v>497</v>
      </c>
      <c r="E18" s="127" t="s">
        <v>489</v>
      </c>
      <c r="F18" s="52"/>
      <c r="G18" s="127" t="s">
        <v>515</v>
      </c>
      <c r="H18" s="104"/>
      <c r="I18" s="104"/>
      <c r="J18" s="104"/>
      <c r="K18" s="104"/>
      <c r="L18" s="104"/>
      <c r="M18" s="104"/>
      <c r="N18" s="104"/>
      <c r="O18" s="104"/>
      <c r="P18" s="104"/>
      <c r="Q18" s="104"/>
      <c r="R18" s="104"/>
      <c r="S18" s="104"/>
      <c r="T18" s="104"/>
      <c r="U18" s="104"/>
      <c r="V18" s="104"/>
      <c r="W18" s="104"/>
      <c r="X18" s="104"/>
      <c r="Y18" s="104"/>
      <c r="Z18" s="104"/>
      <c r="AA18" s="104"/>
    </row>
    <row r="19">
      <c r="A19" s="127">
        <v>13.0</v>
      </c>
      <c r="B19" s="132">
        <v>46030.0</v>
      </c>
      <c r="C19" s="127" t="s">
        <v>516</v>
      </c>
      <c r="D19" s="127" t="s">
        <v>517</v>
      </c>
      <c r="E19" s="127" t="s">
        <v>489</v>
      </c>
      <c r="F19" s="9"/>
      <c r="G19" s="127" t="s">
        <v>518</v>
      </c>
      <c r="H19" s="104"/>
      <c r="I19" s="104"/>
      <c r="J19" s="104"/>
      <c r="K19" s="104"/>
      <c r="L19" s="104"/>
      <c r="M19" s="104"/>
      <c r="N19" s="104"/>
      <c r="O19" s="104"/>
      <c r="P19" s="104"/>
      <c r="Q19" s="104"/>
      <c r="R19" s="104"/>
      <c r="S19" s="104"/>
      <c r="T19" s="104"/>
      <c r="U19" s="104"/>
      <c r="V19" s="104"/>
      <c r="W19" s="104"/>
      <c r="X19" s="104"/>
      <c r="Y19" s="104"/>
      <c r="Z19" s="104"/>
      <c r="AA19" s="104"/>
    </row>
    <row r="20">
      <c r="A20" s="127">
        <v>14.0</v>
      </c>
      <c r="B20" s="132">
        <v>46034.0</v>
      </c>
      <c r="C20" s="127" t="s">
        <v>519</v>
      </c>
      <c r="D20" s="127" t="s">
        <v>497</v>
      </c>
      <c r="E20" s="127" t="s">
        <v>489</v>
      </c>
      <c r="F20" s="127" t="s">
        <v>520</v>
      </c>
      <c r="G20" s="127" t="s">
        <v>518</v>
      </c>
      <c r="H20" s="104"/>
      <c r="I20" s="104"/>
      <c r="J20" s="104"/>
      <c r="K20" s="104"/>
      <c r="L20" s="104"/>
      <c r="M20" s="104"/>
      <c r="N20" s="104"/>
      <c r="O20" s="104"/>
      <c r="P20" s="104"/>
      <c r="Q20" s="104"/>
      <c r="R20" s="104"/>
      <c r="S20" s="104"/>
      <c r="T20" s="104"/>
      <c r="U20" s="104"/>
      <c r="V20" s="104"/>
      <c r="W20" s="104"/>
      <c r="X20" s="104"/>
      <c r="Y20" s="104"/>
      <c r="Z20" s="104"/>
      <c r="AA20" s="104"/>
    </row>
    <row r="21">
      <c r="A21" s="129">
        <v>15.0</v>
      </c>
      <c r="B21" s="131">
        <v>46035.0</v>
      </c>
      <c r="C21" s="127" t="s">
        <v>521</v>
      </c>
      <c r="D21" s="127" t="s">
        <v>497</v>
      </c>
      <c r="E21" s="127" t="s">
        <v>489</v>
      </c>
      <c r="F21" s="129" t="s">
        <v>512</v>
      </c>
      <c r="G21" s="127" t="s">
        <v>522</v>
      </c>
      <c r="H21" s="104"/>
      <c r="I21" s="104"/>
      <c r="J21" s="104"/>
      <c r="K21" s="104"/>
      <c r="L21" s="104"/>
      <c r="M21" s="104"/>
      <c r="N21" s="104"/>
      <c r="O21" s="104"/>
      <c r="P21" s="104"/>
      <c r="Q21" s="104"/>
      <c r="R21" s="104"/>
      <c r="S21" s="104"/>
      <c r="T21" s="104"/>
      <c r="U21" s="104"/>
      <c r="V21" s="104"/>
      <c r="W21" s="104"/>
      <c r="X21" s="104"/>
      <c r="Y21" s="104"/>
      <c r="Z21" s="104"/>
      <c r="AA21" s="104"/>
    </row>
    <row r="22">
      <c r="A22" s="9"/>
      <c r="B22" s="9"/>
      <c r="C22" s="127" t="s">
        <v>523</v>
      </c>
      <c r="D22" s="127" t="s">
        <v>503</v>
      </c>
      <c r="E22" s="127" t="s">
        <v>489</v>
      </c>
      <c r="F22" s="9"/>
      <c r="G22" s="127" t="s">
        <v>524</v>
      </c>
      <c r="H22" s="104"/>
      <c r="I22" s="104"/>
      <c r="J22" s="104"/>
      <c r="K22" s="104"/>
      <c r="L22" s="104"/>
      <c r="M22" s="104"/>
      <c r="N22" s="104"/>
      <c r="O22" s="104"/>
      <c r="P22" s="104"/>
      <c r="Q22" s="104"/>
      <c r="R22" s="104"/>
      <c r="S22" s="104"/>
      <c r="T22" s="104"/>
      <c r="U22" s="104"/>
      <c r="V22" s="104"/>
      <c r="W22" s="104"/>
      <c r="X22" s="104"/>
      <c r="Y22" s="104"/>
      <c r="Z22" s="104"/>
      <c r="AA22" s="104"/>
    </row>
    <row r="23">
      <c r="A23" s="129">
        <v>16.0</v>
      </c>
      <c r="B23" s="131">
        <v>46039.0</v>
      </c>
      <c r="C23" s="127" t="s">
        <v>525</v>
      </c>
      <c r="D23" s="127" t="s">
        <v>526</v>
      </c>
      <c r="E23" s="127" t="s">
        <v>489</v>
      </c>
      <c r="F23" s="129" t="s">
        <v>527</v>
      </c>
      <c r="G23" s="127" t="s">
        <v>528</v>
      </c>
      <c r="H23" s="104"/>
      <c r="I23" s="104"/>
      <c r="J23" s="104"/>
      <c r="K23" s="104"/>
      <c r="L23" s="104"/>
      <c r="M23" s="104"/>
      <c r="N23" s="104"/>
      <c r="O23" s="104"/>
      <c r="P23" s="104"/>
      <c r="Q23" s="104"/>
      <c r="R23" s="104"/>
      <c r="S23" s="104"/>
      <c r="T23" s="104"/>
      <c r="U23" s="104"/>
      <c r="V23" s="104"/>
      <c r="W23" s="104"/>
      <c r="X23" s="104"/>
      <c r="Y23" s="104"/>
      <c r="Z23" s="104"/>
      <c r="AA23" s="104"/>
    </row>
    <row r="24">
      <c r="A24" s="52"/>
      <c r="B24" s="52"/>
      <c r="C24" s="119"/>
      <c r="D24" s="119"/>
      <c r="E24" s="127" t="s">
        <v>489</v>
      </c>
      <c r="F24" s="52"/>
      <c r="G24" s="119"/>
      <c r="H24" s="104"/>
      <c r="I24" s="104"/>
      <c r="J24" s="104"/>
      <c r="K24" s="104"/>
      <c r="L24" s="104"/>
      <c r="M24" s="104"/>
      <c r="N24" s="104"/>
      <c r="O24" s="104"/>
      <c r="P24" s="104"/>
      <c r="Q24" s="104"/>
      <c r="R24" s="104"/>
      <c r="S24" s="104"/>
      <c r="T24" s="104"/>
      <c r="U24" s="104"/>
      <c r="V24" s="104"/>
      <c r="W24" s="104"/>
      <c r="X24" s="104"/>
      <c r="Y24" s="104"/>
      <c r="Z24" s="104"/>
      <c r="AA24" s="104"/>
    </row>
    <row r="25">
      <c r="A25" s="9"/>
      <c r="B25" s="9"/>
      <c r="C25" s="127" t="s">
        <v>529</v>
      </c>
      <c r="D25" s="127" t="s">
        <v>526</v>
      </c>
      <c r="E25" s="127" t="s">
        <v>489</v>
      </c>
      <c r="F25" s="9"/>
      <c r="G25" s="127" t="s">
        <v>530</v>
      </c>
      <c r="H25" s="104"/>
      <c r="I25" s="104"/>
      <c r="J25" s="104"/>
      <c r="K25" s="104"/>
      <c r="L25" s="104"/>
      <c r="M25" s="104"/>
      <c r="N25" s="104"/>
      <c r="O25" s="104"/>
      <c r="P25" s="104"/>
      <c r="Q25" s="104"/>
      <c r="R25" s="104"/>
      <c r="S25" s="104"/>
      <c r="T25" s="104"/>
      <c r="U25" s="104"/>
      <c r="V25" s="104"/>
      <c r="W25" s="104"/>
      <c r="X25" s="104"/>
      <c r="Y25" s="104"/>
      <c r="Z25" s="104"/>
      <c r="AA25" s="104"/>
    </row>
    <row r="26">
      <c r="A26" s="127">
        <v>17.0</v>
      </c>
      <c r="B26" s="131">
        <v>46040.0</v>
      </c>
      <c r="C26" s="127" t="s">
        <v>531</v>
      </c>
      <c r="D26" s="127" t="s">
        <v>497</v>
      </c>
      <c r="E26" s="127" t="s">
        <v>489</v>
      </c>
      <c r="F26" s="129" t="s">
        <v>506</v>
      </c>
      <c r="G26" s="127" t="s">
        <v>532</v>
      </c>
      <c r="H26" s="104"/>
      <c r="I26" s="104"/>
      <c r="J26" s="104"/>
      <c r="K26" s="104"/>
      <c r="L26" s="104"/>
      <c r="M26" s="104"/>
      <c r="N26" s="104"/>
      <c r="O26" s="104"/>
      <c r="P26" s="104"/>
      <c r="Q26" s="104"/>
      <c r="R26" s="104"/>
      <c r="S26" s="104"/>
      <c r="T26" s="104"/>
      <c r="U26" s="104"/>
      <c r="V26" s="104"/>
      <c r="W26" s="104"/>
      <c r="X26" s="104"/>
      <c r="Y26" s="104"/>
      <c r="Z26" s="104"/>
      <c r="AA26" s="104"/>
    </row>
    <row r="27">
      <c r="A27" s="127">
        <v>18.0</v>
      </c>
      <c r="B27" s="132">
        <v>46041.0</v>
      </c>
      <c r="C27" s="127" t="s">
        <v>533</v>
      </c>
      <c r="D27" s="127" t="s">
        <v>497</v>
      </c>
      <c r="E27" s="127" t="s">
        <v>489</v>
      </c>
      <c r="F27" s="9"/>
      <c r="G27" s="127" t="s">
        <v>534</v>
      </c>
      <c r="H27" s="104"/>
      <c r="I27" s="104"/>
      <c r="J27" s="104"/>
      <c r="K27" s="104"/>
      <c r="L27" s="104"/>
      <c r="M27" s="104"/>
      <c r="N27" s="104"/>
      <c r="O27" s="104"/>
      <c r="P27" s="104"/>
      <c r="Q27" s="104"/>
      <c r="R27" s="104"/>
      <c r="S27" s="104"/>
      <c r="T27" s="104"/>
      <c r="U27" s="104"/>
      <c r="V27" s="104"/>
      <c r="W27" s="104"/>
      <c r="X27" s="104"/>
      <c r="Y27" s="104"/>
      <c r="Z27" s="104"/>
      <c r="AA27" s="104"/>
    </row>
    <row r="28">
      <c r="A28" s="127">
        <v>19.0</v>
      </c>
      <c r="B28" s="132">
        <v>46041.0</v>
      </c>
      <c r="C28" s="127" t="s">
        <v>535</v>
      </c>
      <c r="D28" s="127" t="s">
        <v>497</v>
      </c>
      <c r="E28" s="127" t="s">
        <v>489</v>
      </c>
      <c r="F28" s="127" t="s">
        <v>512</v>
      </c>
      <c r="G28" s="127" t="s">
        <v>536</v>
      </c>
      <c r="H28" s="104"/>
      <c r="I28" s="104"/>
      <c r="J28" s="104"/>
      <c r="K28" s="104"/>
      <c r="L28" s="104"/>
      <c r="M28" s="104"/>
      <c r="N28" s="104"/>
      <c r="O28" s="104"/>
      <c r="P28" s="104"/>
      <c r="Q28" s="104"/>
      <c r="R28" s="104"/>
      <c r="S28" s="104"/>
      <c r="T28" s="104"/>
      <c r="U28" s="104"/>
      <c r="V28" s="104"/>
      <c r="W28" s="104"/>
      <c r="X28" s="104"/>
      <c r="Y28" s="104"/>
      <c r="Z28" s="104"/>
      <c r="AA28" s="104"/>
    </row>
    <row r="29">
      <c r="A29" s="129">
        <v>20.0</v>
      </c>
      <c r="B29" s="131">
        <v>46043.0</v>
      </c>
      <c r="C29" s="127" t="s">
        <v>537</v>
      </c>
      <c r="D29" s="127" t="s">
        <v>526</v>
      </c>
      <c r="E29" s="127" t="s">
        <v>489</v>
      </c>
      <c r="F29" s="129" t="s">
        <v>538</v>
      </c>
      <c r="G29" s="127" t="s">
        <v>539</v>
      </c>
      <c r="H29" s="104"/>
      <c r="I29" s="104"/>
      <c r="J29" s="104"/>
      <c r="K29" s="104"/>
      <c r="L29" s="104"/>
      <c r="M29" s="104"/>
      <c r="N29" s="104"/>
      <c r="O29" s="104"/>
      <c r="P29" s="104"/>
      <c r="Q29" s="104"/>
      <c r="R29" s="104"/>
      <c r="S29" s="104"/>
      <c r="T29" s="104"/>
      <c r="U29" s="104"/>
      <c r="V29" s="104"/>
      <c r="W29" s="104"/>
      <c r="X29" s="104"/>
      <c r="Y29" s="104"/>
      <c r="Z29" s="104"/>
      <c r="AA29" s="104"/>
    </row>
    <row r="30">
      <c r="A30" s="9"/>
      <c r="B30" s="9"/>
      <c r="C30" s="127" t="s">
        <v>540</v>
      </c>
      <c r="D30" s="127" t="s">
        <v>497</v>
      </c>
      <c r="E30" s="127" t="s">
        <v>489</v>
      </c>
      <c r="F30" s="9"/>
      <c r="G30" s="127" t="s">
        <v>541</v>
      </c>
      <c r="H30" s="104"/>
      <c r="I30" s="104"/>
      <c r="J30" s="104"/>
      <c r="K30" s="104"/>
      <c r="L30" s="104"/>
      <c r="M30" s="104"/>
      <c r="N30" s="104"/>
      <c r="O30" s="104"/>
      <c r="P30" s="104"/>
      <c r="Q30" s="104"/>
      <c r="R30" s="104"/>
      <c r="S30" s="104"/>
      <c r="T30" s="104"/>
      <c r="U30" s="104"/>
      <c r="V30" s="104"/>
      <c r="W30" s="104"/>
      <c r="X30" s="104"/>
      <c r="Y30" s="104"/>
      <c r="Z30" s="104"/>
      <c r="AA30" s="104"/>
    </row>
    <row r="31">
      <c r="A31" s="129">
        <v>21.0</v>
      </c>
      <c r="B31" s="132">
        <v>46044.0</v>
      </c>
      <c r="C31" s="127" t="s">
        <v>542</v>
      </c>
      <c r="D31" s="127" t="s">
        <v>497</v>
      </c>
      <c r="E31" s="127" t="s">
        <v>489</v>
      </c>
      <c r="F31" s="129" t="s">
        <v>508</v>
      </c>
      <c r="G31" s="127" t="s">
        <v>543</v>
      </c>
      <c r="H31" s="104"/>
      <c r="I31" s="104"/>
      <c r="J31" s="104"/>
      <c r="K31" s="104"/>
      <c r="L31" s="104"/>
      <c r="M31" s="104"/>
      <c r="N31" s="104"/>
      <c r="O31" s="104"/>
      <c r="P31" s="104"/>
      <c r="Q31" s="104"/>
      <c r="R31" s="104"/>
      <c r="S31" s="104"/>
      <c r="T31" s="104"/>
      <c r="U31" s="104"/>
      <c r="V31" s="104"/>
      <c r="W31" s="104"/>
      <c r="X31" s="104"/>
      <c r="Y31" s="104"/>
      <c r="Z31" s="104"/>
      <c r="AA31" s="104"/>
    </row>
    <row r="32">
      <c r="A32" s="9"/>
      <c r="B32" s="132">
        <v>46045.0</v>
      </c>
      <c r="C32" s="127" t="s">
        <v>544</v>
      </c>
      <c r="D32" s="127" t="s">
        <v>497</v>
      </c>
      <c r="E32" s="127" t="s">
        <v>489</v>
      </c>
      <c r="F32" s="9"/>
      <c r="G32" s="127" t="s">
        <v>545</v>
      </c>
      <c r="H32" s="104"/>
      <c r="I32" s="104"/>
      <c r="J32" s="104"/>
      <c r="K32" s="104"/>
      <c r="L32" s="104"/>
      <c r="M32" s="104"/>
      <c r="N32" s="104"/>
      <c r="O32" s="104"/>
      <c r="P32" s="104"/>
      <c r="Q32" s="104"/>
      <c r="R32" s="104"/>
      <c r="S32" s="104"/>
      <c r="T32" s="104"/>
      <c r="U32" s="104"/>
      <c r="V32" s="104"/>
      <c r="W32" s="104"/>
      <c r="X32" s="104"/>
      <c r="Y32" s="104"/>
      <c r="Z32" s="104"/>
      <c r="AA32" s="104"/>
    </row>
    <row r="33">
      <c r="A33" s="186">
        <v>22.0</v>
      </c>
      <c r="B33" s="131">
        <v>46045.0</v>
      </c>
      <c r="C33" s="127" t="s">
        <v>472</v>
      </c>
      <c r="D33" s="127" t="s">
        <v>497</v>
      </c>
      <c r="E33" s="127" t="s">
        <v>489</v>
      </c>
      <c r="F33" s="129" t="s">
        <v>506</v>
      </c>
      <c r="G33" s="127" t="s">
        <v>546</v>
      </c>
      <c r="H33" s="104"/>
      <c r="I33" s="104"/>
      <c r="J33" s="104"/>
      <c r="K33" s="104"/>
      <c r="L33" s="104"/>
      <c r="M33" s="104"/>
      <c r="N33" s="104"/>
      <c r="O33" s="104"/>
      <c r="P33" s="104"/>
      <c r="Q33" s="104"/>
      <c r="R33" s="104"/>
      <c r="S33" s="104"/>
      <c r="T33" s="104"/>
      <c r="U33" s="104"/>
      <c r="V33" s="104"/>
      <c r="W33" s="104"/>
      <c r="X33" s="104"/>
      <c r="Y33" s="104"/>
      <c r="Z33" s="104"/>
      <c r="AA33" s="104"/>
    </row>
    <row r="34">
      <c r="B34" s="9"/>
      <c r="C34" s="127" t="s">
        <v>547</v>
      </c>
      <c r="D34" s="127" t="s">
        <v>497</v>
      </c>
      <c r="E34" s="127" t="s">
        <v>489</v>
      </c>
      <c r="F34" s="9"/>
      <c r="G34" s="127" t="s">
        <v>548</v>
      </c>
      <c r="H34" s="186" t="s">
        <v>549</v>
      </c>
      <c r="I34" s="104"/>
      <c r="J34" s="104"/>
      <c r="K34" s="104"/>
      <c r="L34" s="104"/>
      <c r="M34" s="104"/>
      <c r="N34" s="104"/>
      <c r="O34" s="104"/>
      <c r="P34" s="104"/>
      <c r="Q34" s="104"/>
      <c r="R34" s="104"/>
      <c r="S34" s="104"/>
      <c r="T34" s="104"/>
      <c r="U34" s="104"/>
      <c r="V34" s="104"/>
      <c r="W34" s="104"/>
      <c r="X34" s="104"/>
      <c r="Y34" s="104"/>
      <c r="Z34" s="104"/>
      <c r="AA34" s="104"/>
    </row>
    <row r="35">
      <c r="A35" s="129">
        <v>23.0</v>
      </c>
      <c r="B35" s="132">
        <v>46046.0</v>
      </c>
      <c r="C35" s="127" t="s">
        <v>550</v>
      </c>
      <c r="D35" s="127" t="s">
        <v>497</v>
      </c>
      <c r="E35" s="127" t="s">
        <v>489</v>
      </c>
      <c r="F35" s="129" t="s">
        <v>527</v>
      </c>
      <c r="G35" s="127" t="s">
        <v>551</v>
      </c>
      <c r="H35" s="104"/>
      <c r="I35" s="104"/>
      <c r="J35" s="104"/>
      <c r="K35" s="104"/>
      <c r="L35" s="104"/>
      <c r="M35" s="104"/>
      <c r="N35" s="104"/>
      <c r="O35" s="104"/>
      <c r="P35" s="104"/>
      <c r="Q35" s="104"/>
      <c r="R35" s="104"/>
      <c r="S35" s="104"/>
      <c r="T35" s="104"/>
      <c r="U35" s="104"/>
      <c r="V35" s="104"/>
      <c r="W35" s="104"/>
      <c r="X35" s="104"/>
      <c r="Y35" s="104"/>
      <c r="Z35" s="104"/>
      <c r="AA35" s="104"/>
    </row>
    <row r="36">
      <c r="A36" s="9"/>
      <c r="B36" s="132">
        <v>46047.0</v>
      </c>
      <c r="C36" s="127" t="s">
        <v>552</v>
      </c>
      <c r="D36" s="127" t="s">
        <v>526</v>
      </c>
      <c r="E36" s="127" t="s">
        <v>489</v>
      </c>
      <c r="F36" s="9"/>
      <c r="G36" s="127" t="s">
        <v>553</v>
      </c>
      <c r="H36" s="104"/>
      <c r="I36" s="104"/>
      <c r="J36" s="104"/>
      <c r="K36" s="104"/>
      <c r="L36" s="104"/>
      <c r="M36" s="104"/>
      <c r="N36" s="104"/>
      <c r="O36" s="104"/>
      <c r="P36" s="104"/>
      <c r="Q36" s="104"/>
      <c r="R36" s="104"/>
      <c r="S36" s="104"/>
      <c r="T36" s="104"/>
      <c r="U36" s="104"/>
      <c r="V36" s="104"/>
      <c r="W36" s="104"/>
      <c r="X36" s="104"/>
      <c r="Y36" s="104"/>
      <c r="Z36" s="104"/>
      <c r="AA36" s="104"/>
    </row>
    <row r="37">
      <c r="A37" s="127">
        <v>24.0</v>
      </c>
      <c r="B37" s="132">
        <v>46047.0</v>
      </c>
      <c r="C37" s="127" t="s">
        <v>554</v>
      </c>
      <c r="D37" s="127" t="s">
        <v>497</v>
      </c>
      <c r="E37" s="127" t="s">
        <v>489</v>
      </c>
      <c r="F37" s="127" t="s">
        <v>512</v>
      </c>
      <c r="G37" s="127" t="s">
        <v>555</v>
      </c>
      <c r="H37" s="186" t="s">
        <v>549</v>
      </c>
      <c r="I37" s="104"/>
      <c r="J37" s="104"/>
      <c r="K37" s="104"/>
      <c r="L37" s="104"/>
      <c r="M37" s="104"/>
      <c r="N37" s="104"/>
      <c r="O37" s="104"/>
      <c r="P37" s="104"/>
      <c r="Q37" s="104"/>
      <c r="R37" s="104"/>
      <c r="S37" s="104"/>
      <c r="T37" s="104"/>
      <c r="U37" s="104"/>
      <c r="V37" s="104"/>
      <c r="W37" s="104"/>
      <c r="X37" s="104"/>
      <c r="Y37" s="104"/>
      <c r="Z37" s="104"/>
      <c r="AA37" s="104"/>
    </row>
    <row r="38">
      <c r="A38" s="129">
        <v>25.0</v>
      </c>
      <c r="B38" s="131">
        <v>46048.0</v>
      </c>
      <c r="C38" s="127" t="s">
        <v>556</v>
      </c>
      <c r="D38" s="127" t="s">
        <v>497</v>
      </c>
      <c r="E38" s="127" t="s">
        <v>489</v>
      </c>
      <c r="F38" s="129" t="s">
        <v>508</v>
      </c>
      <c r="G38" s="127" t="s">
        <v>557</v>
      </c>
      <c r="H38" s="104"/>
      <c r="I38" s="104"/>
      <c r="J38" s="104"/>
      <c r="K38" s="104"/>
      <c r="L38" s="104"/>
      <c r="M38" s="104"/>
      <c r="N38" s="104"/>
      <c r="O38" s="104"/>
      <c r="P38" s="104"/>
      <c r="Q38" s="104"/>
      <c r="R38" s="104"/>
      <c r="S38" s="104"/>
      <c r="T38" s="104"/>
      <c r="U38" s="104"/>
      <c r="V38" s="104"/>
      <c r="W38" s="104"/>
      <c r="X38" s="104"/>
      <c r="Y38" s="104"/>
      <c r="Z38" s="104"/>
      <c r="AA38" s="104"/>
    </row>
    <row r="39">
      <c r="A39" s="9"/>
      <c r="B39" s="9"/>
      <c r="C39" s="127" t="s">
        <v>558</v>
      </c>
      <c r="D39" s="127" t="s">
        <v>497</v>
      </c>
      <c r="E39" s="127" t="s">
        <v>489</v>
      </c>
      <c r="F39" s="9"/>
      <c r="G39" s="127" t="s">
        <v>559</v>
      </c>
      <c r="H39" s="104"/>
      <c r="I39" s="104"/>
      <c r="J39" s="104"/>
      <c r="K39" s="104"/>
      <c r="L39" s="104"/>
      <c r="M39" s="104"/>
      <c r="N39" s="104"/>
      <c r="O39" s="104"/>
      <c r="P39" s="104"/>
      <c r="Q39" s="104"/>
      <c r="R39" s="104"/>
      <c r="S39" s="104"/>
      <c r="T39" s="104"/>
      <c r="U39" s="104"/>
      <c r="V39" s="104"/>
      <c r="W39" s="104"/>
      <c r="X39" s="104"/>
      <c r="Y39" s="104"/>
      <c r="Z39" s="104"/>
      <c r="AA39" s="104"/>
    </row>
    <row r="40">
      <c r="A40" s="129">
        <v>26.0</v>
      </c>
      <c r="B40" s="131">
        <v>46050.0</v>
      </c>
      <c r="C40" s="127" t="s">
        <v>560</v>
      </c>
      <c r="D40" s="127" t="s">
        <v>497</v>
      </c>
      <c r="E40" s="127" t="s">
        <v>489</v>
      </c>
      <c r="F40" s="129" t="s">
        <v>538</v>
      </c>
      <c r="G40" s="127" t="s">
        <v>561</v>
      </c>
      <c r="H40" s="104"/>
      <c r="I40" s="104"/>
      <c r="J40" s="104"/>
      <c r="K40" s="104"/>
      <c r="L40" s="104"/>
      <c r="M40" s="104"/>
      <c r="N40" s="104"/>
      <c r="O40" s="104"/>
      <c r="P40" s="104"/>
      <c r="Q40" s="104"/>
      <c r="R40" s="104"/>
      <c r="S40" s="104"/>
      <c r="T40" s="104"/>
      <c r="U40" s="104"/>
      <c r="V40" s="104"/>
      <c r="W40" s="104"/>
      <c r="X40" s="104"/>
      <c r="Y40" s="104"/>
      <c r="Z40" s="104"/>
      <c r="AA40" s="104"/>
    </row>
    <row r="41">
      <c r="A41" s="9"/>
      <c r="B41" s="9"/>
      <c r="C41" s="127" t="s">
        <v>562</v>
      </c>
      <c r="D41" s="127" t="s">
        <v>497</v>
      </c>
      <c r="E41" s="127" t="s">
        <v>489</v>
      </c>
      <c r="F41" s="9"/>
      <c r="G41" s="127" t="s">
        <v>563</v>
      </c>
      <c r="H41" s="104"/>
      <c r="I41" s="104"/>
      <c r="J41" s="104"/>
      <c r="K41" s="104"/>
      <c r="L41" s="104"/>
      <c r="M41" s="104"/>
      <c r="N41" s="104"/>
      <c r="O41" s="104"/>
      <c r="P41" s="104"/>
      <c r="Q41" s="104"/>
      <c r="R41" s="104"/>
      <c r="S41" s="104"/>
      <c r="T41" s="104"/>
      <c r="U41" s="104"/>
      <c r="V41" s="104"/>
      <c r="W41" s="104"/>
      <c r="X41" s="104"/>
      <c r="Y41" s="104"/>
      <c r="Z41" s="104"/>
      <c r="AA41" s="104"/>
    </row>
    <row r="42">
      <c r="A42" s="127">
        <v>27.0</v>
      </c>
      <c r="B42" s="132">
        <v>46052.0</v>
      </c>
      <c r="C42" s="127" t="s">
        <v>564</v>
      </c>
      <c r="D42" s="127" t="s">
        <v>497</v>
      </c>
      <c r="E42" s="127" t="s">
        <v>489</v>
      </c>
      <c r="F42" s="127" t="s">
        <v>506</v>
      </c>
      <c r="G42" s="127" t="s">
        <v>451</v>
      </c>
      <c r="H42" s="104"/>
      <c r="I42" s="104"/>
      <c r="J42" s="104"/>
      <c r="K42" s="104"/>
      <c r="L42" s="104"/>
      <c r="M42" s="104"/>
      <c r="N42" s="104"/>
      <c r="O42" s="104"/>
      <c r="P42" s="104"/>
      <c r="Q42" s="104"/>
      <c r="R42" s="104"/>
      <c r="S42" s="104"/>
      <c r="T42" s="104"/>
      <c r="U42" s="104"/>
      <c r="V42" s="104"/>
      <c r="W42" s="104"/>
      <c r="X42" s="104"/>
      <c r="Y42" s="104"/>
      <c r="Z42" s="104"/>
      <c r="AA42" s="104"/>
    </row>
    <row r="43">
      <c r="A43" s="129">
        <v>28.0</v>
      </c>
      <c r="B43" s="131">
        <v>46052.0</v>
      </c>
      <c r="C43" s="127" t="s">
        <v>519</v>
      </c>
      <c r="D43" s="127" t="s">
        <v>565</v>
      </c>
      <c r="E43" s="127" t="s">
        <v>489</v>
      </c>
      <c r="F43" s="129" t="s">
        <v>566</v>
      </c>
      <c r="G43" s="127" t="s">
        <v>551</v>
      </c>
      <c r="H43" s="104"/>
      <c r="I43" s="104"/>
      <c r="J43" s="104"/>
      <c r="K43" s="104"/>
      <c r="L43" s="104"/>
      <c r="M43" s="104"/>
      <c r="N43" s="104"/>
      <c r="O43" s="104"/>
      <c r="P43" s="104"/>
      <c r="Q43" s="104"/>
      <c r="R43" s="104"/>
      <c r="S43" s="104"/>
      <c r="T43" s="104"/>
      <c r="U43" s="104"/>
      <c r="V43" s="104"/>
      <c r="W43" s="104"/>
      <c r="X43" s="104"/>
      <c r="Y43" s="104"/>
      <c r="Z43" s="104"/>
      <c r="AA43" s="104"/>
    </row>
    <row r="44">
      <c r="A44" s="9"/>
      <c r="B44" s="9"/>
      <c r="C44" s="127" t="s">
        <v>567</v>
      </c>
      <c r="D44" s="127" t="s">
        <v>497</v>
      </c>
      <c r="E44" s="127" t="s">
        <v>489</v>
      </c>
      <c r="F44" s="9"/>
      <c r="G44" s="127" t="s">
        <v>568</v>
      </c>
      <c r="H44" s="104"/>
      <c r="I44" s="104"/>
      <c r="J44" s="104"/>
      <c r="K44" s="104"/>
      <c r="L44" s="104"/>
      <c r="M44" s="104"/>
      <c r="N44" s="104"/>
      <c r="O44" s="104"/>
      <c r="P44" s="104"/>
      <c r="Q44" s="104"/>
      <c r="R44" s="104"/>
      <c r="S44" s="104"/>
      <c r="T44" s="104"/>
      <c r="U44" s="104"/>
      <c r="V44" s="104"/>
      <c r="W44" s="104"/>
      <c r="X44" s="104"/>
      <c r="Y44" s="104"/>
      <c r="Z44" s="104"/>
      <c r="AA44" s="104"/>
    </row>
    <row r="45">
      <c r="A45" s="129">
        <v>29.0</v>
      </c>
      <c r="B45" s="131">
        <v>46053.0</v>
      </c>
      <c r="C45" s="127" t="s">
        <v>569</v>
      </c>
      <c r="D45" s="127" t="s">
        <v>570</v>
      </c>
      <c r="E45" s="127" t="s">
        <v>489</v>
      </c>
      <c r="F45" s="129" t="s">
        <v>527</v>
      </c>
      <c r="G45" s="127" t="s">
        <v>571</v>
      </c>
      <c r="H45" s="104"/>
      <c r="I45" s="104"/>
      <c r="J45" s="104"/>
      <c r="K45" s="104"/>
      <c r="L45" s="104"/>
      <c r="M45" s="104"/>
      <c r="N45" s="104"/>
      <c r="O45" s="104"/>
      <c r="P45" s="104"/>
      <c r="Q45" s="104"/>
      <c r="R45" s="104"/>
      <c r="S45" s="104"/>
      <c r="T45" s="104"/>
      <c r="U45" s="104"/>
      <c r="V45" s="104"/>
      <c r="W45" s="104"/>
      <c r="X45" s="104"/>
      <c r="Y45" s="104"/>
      <c r="Z45" s="104"/>
      <c r="AA45" s="104"/>
    </row>
    <row r="46">
      <c r="A46" s="52"/>
      <c r="B46" s="52"/>
      <c r="C46" s="127" t="s">
        <v>564</v>
      </c>
      <c r="D46" s="127" t="s">
        <v>497</v>
      </c>
      <c r="E46" s="127" t="s">
        <v>489</v>
      </c>
      <c r="F46" s="52"/>
      <c r="G46" s="127" t="s">
        <v>572</v>
      </c>
      <c r="H46" s="104"/>
      <c r="I46" s="104"/>
      <c r="J46" s="104"/>
      <c r="K46" s="104"/>
      <c r="L46" s="104"/>
      <c r="M46" s="104"/>
      <c r="N46" s="104"/>
      <c r="O46" s="104"/>
      <c r="P46" s="104"/>
      <c r="Q46" s="104"/>
      <c r="R46" s="104"/>
      <c r="S46" s="104"/>
      <c r="T46" s="104"/>
      <c r="U46" s="104"/>
      <c r="V46" s="104"/>
      <c r="W46" s="104"/>
      <c r="X46" s="104"/>
      <c r="Y46" s="104"/>
      <c r="Z46" s="104"/>
      <c r="AA46" s="104"/>
    </row>
    <row r="47">
      <c r="A47" s="9"/>
      <c r="B47" s="9"/>
      <c r="C47" s="127" t="s">
        <v>573</v>
      </c>
      <c r="D47" s="127" t="s">
        <v>497</v>
      </c>
      <c r="E47" s="127" t="s">
        <v>489</v>
      </c>
      <c r="F47" s="52"/>
      <c r="G47" s="127" t="s">
        <v>574</v>
      </c>
      <c r="H47" s="104"/>
      <c r="I47" s="104"/>
      <c r="J47" s="104"/>
      <c r="K47" s="104"/>
      <c r="L47" s="104"/>
      <c r="M47" s="104"/>
      <c r="N47" s="104"/>
      <c r="O47" s="104"/>
      <c r="P47" s="104"/>
      <c r="Q47" s="104"/>
      <c r="R47" s="104"/>
      <c r="S47" s="104"/>
      <c r="T47" s="104"/>
      <c r="U47" s="104"/>
      <c r="V47" s="104"/>
      <c r="W47" s="104"/>
      <c r="X47" s="104"/>
      <c r="Y47" s="104"/>
      <c r="Z47" s="104"/>
      <c r="AA47" s="104"/>
    </row>
    <row r="48">
      <c r="A48" s="129">
        <v>30.0</v>
      </c>
      <c r="B48" s="131">
        <v>46054.0</v>
      </c>
      <c r="C48" s="127" t="s">
        <v>575</v>
      </c>
      <c r="D48" s="127" t="s">
        <v>497</v>
      </c>
      <c r="E48" s="127" t="s">
        <v>489</v>
      </c>
      <c r="F48" s="52"/>
      <c r="G48" s="127" t="s">
        <v>576</v>
      </c>
      <c r="H48" s="104"/>
      <c r="I48" s="104"/>
      <c r="J48" s="104"/>
      <c r="K48" s="104"/>
      <c r="L48" s="104"/>
      <c r="M48" s="104"/>
      <c r="N48" s="104"/>
      <c r="O48" s="104"/>
      <c r="P48" s="104"/>
      <c r="Q48" s="104"/>
      <c r="R48" s="104"/>
      <c r="S48" s="104"/>
      <c r="T48" s="104"/>
      <c r="U48" s="104"/>
      <c r="V48" s="104"/>
      <c r="W48" s="104"/>
      <c r="X48" s="104"/>
      <c r="Y48" s="104"/>
      <c r="Z48" s="104"/>
      <c r="AA48" s="104"/>
    </row>
    <row r="49">
      <c r="A49" s="9"/>
      <c r="B49" s="9"/>
      <c r="C49" s="127" t="s">
        <v>577</v>
      </c>
      <c r="D49" s="127" t="s">
        <v>497</v>
      </c>
      <c r="E49" s="127" t="s">
        <v>489</v>
      </c>
      <c r="F49" s="9"/>
      <c r="G49" s="119"/>
      <c r="H49" s="186" t="s">
        <v>549</v>
      </c>
      <c r="I49" s="104"/>
      <c r="J49" s="104"/>
      <c r="K49" s="104"/>
      <c r="L49" s="104"/>
      <c r="M49" s="104"/>
      <c r="N49" s="104"/>
      <c r="O49" s="104"/>
      <c r="P49" s="104"/>
      <c r="Q49" s="104"/>
      <c r="R49" s="104"/>
      <c r="S49" s="104"/>
      <c r="T49" s="104"/>
      <c r="U49" s="104"/>
      <c r="V49" s="104"/>
      <c r="W49" s="104"/>
      <c r="X49" s="104"/>
      <c r="Y49" s="104"/>
      <c r="Z49" s="104"/>
      <c r="AA49" s="104"/>
    </row>
    <row r="50">
      <c r="A50" s="129">
        <v>31.0</v>
      </c>
      <c r="B50" s="131">
        <v>46055.0</v>
      </c>
      <c r="C50" s="127" t="s">
        <v>578</v>
      </c>
      <c r="D50" s="127" t="s">
        <v>497</v>
      </c>
      <c r="E50" s="127" t="s">
        <v>489</v>
      </c>
      <c r="F50" s="129" t="s">
        <v>475</v>
      </c>
      <c r="G50" s="119"/>
      <c r="H50" s="104"/>
      <c r="I50" s="104"/>
      <c r="J50" s="104"/>
      <c r="K50" s="104"/>
      <c r="L50" s="104"/>
      <c r="M50" s="104"/>
      <c r="N50" s="104"/>
      <c r="O50" s="104"/>
      <c r="P50" s="104"/>
      <c r="Q50" s="104"/>
      <c r="R50" s="104"/>
      <c r="S50" s="104"/>
      <c r="T50" s="104"/>
      <c r="U50" s="104"/>
      <c r="V50" s="104"/>
      <c r="W50" s="104"/>
      <c r="X50" s="104"/>
      <c r="Y50" s="104"/>
      <c r="Z50" s="104"/>
      <c r="AA50" s="104"/>
    </row>
    <row r="51">
      <c r="A51" s="9"/>
      <c r="B51" s="9"/>
      <c r="C51" s="127" t="s">
        <v>579</v>
      </c>
      <c r="D51" s="127" t="s">
        <v>497</v>
      </c>
      <c r="E51" s="127" t="s">
        <v>489</v>
      </c>
      <c r="F51" s="9"/>
      <c r="G51" s="119"/>
      <c r="H51" s="104"/>
      <c r="I51" s="104"/>
      <c r="J51" s="104"/>
      <c r="K51" s="104"/>
      <c r="L51" s="104"/>
      <c r="M51" s="104"/>
      <c r="N51" s="104"/>
      <c r="O51" s="104"/>
      <c r="P51" s="104"/>
      <c r="Q51" s="104"/>
      <c r="R51" s="104"/>
      <c r="S51" s="104"/>
      <c r="T51" s="104"/>
      <c r="U51" s="104"/>
      <c r="V51" s="104"/>
      <c r="W51" s="104"/>
      <c r="X51" s="104"/>
      <c r="Y51" s="104"/>
      <c r="Z51" s="104"/>
      <c r="AA51" s="104"/>
    </row>
    <row r="52">
      <c r="A52" s="129">
        <v>32.0</v>
      </c>
      <c r="B52" s="131">
        <v>46056.0</v>
      </c>
      <c r="C52" s="127" t="s">
        <v>580</v>
      </c>
      <c r="D52" s="127" t="s">
        <v>497</v>
      </c>
      <c r="E52" s="127" t="s">
        <v>489</v>
      </c>
      <c r="F52" s="129" t="s">
        <v>506</v>
      </c>
      <c r="G52" s="119"/>
      <c r="H52" s="186" t="s">
        <v>549</v>
      </c>
      <c r="I52" s="104"/>
      <c r="J52" s="104"/>
      <c r="K52" s="104"/>
      <c r="L52" s="104"/>
      <c r="M52" s="104"/>
      <c r="N52" s="104"/>
      <c r="O52" s="104"/>
      <c r="P52" s="104"/>
      <c r="Q52" s="104"/>
      <c r="R52" s="104"/>
      <c r="S52" s="104"/>
      <c r="T52" s="104"/>
      <c r="U52" s="104"/>
      <c r="V52" s="104"/>
      <c r="W52" s="104"/>
      <c r="X52" s="104"/>
      <c r="Y52" s="104"/>
      <c r="Z52" s="104"/>
      <c r="AA52" s="104"/>
    </row>
    <row r="53">
      <c r="A53" s="9"/>
      <c r="B53" s="9"/>
      <c r="C53" s="127" t="s">
        <v>581</v>
      </c>
      <c r="D53" s="127" t="s">
        <v>497</v>
      </c>
      <c r="E53" s="127" t="s">
        <v>489</v>
      </c>
      <c r="F53" s="9"/>
      <c r="G53" s="119"/>
      <c r="H53" s="104"/>
      <c r="I53" s="104"/>
      <c r="J53" s="104"/>
      <c r="K53" s="104"/>
      <c r="L53" s="104"/>
      <c r="M53" s="104"/>
      <c r="N53" s="104"/>
      <c r="O53" s="104"/>
      <c r="P53" s="104"/>
      <c r="Q53" s="104"/>
      <c r="R53" s="104"/>
      <c r="S53" s="104"/>
      <c r="T53" s="104"/>
      <c r="U53" s="104"/>
      <c r="V53" s="104"/>
      <c r="W53" s="104"/>
      <c r="X53" s="104"/>
      <c r="Y53" s="104"/>
      <c r="Z53" s="104"/>
      <c r="AA53" s="104"/>
    </row>
    <row r="54">
      <c r="A54" s="129">
        <v>33.0</v>
      </c>
      <c r="B54" s="131">
        <v>46057.0</v>
      </c>
      <c r="C54" s="127" t="s">
        <v>582</v>
      </c>
      <c r="D54" s="127" t="s">
        <v>526</v>
      </c>
      <c r="E54" s="127" t="s">
        <v>489</v>
      </c>
      <c r="F54" s="129" t="s">
        <v>538</v>
      </c>
      <c r="G54" s="119"/>
      <c r="H54" s="104"/>
      <c r="I54" s="104"/>
      <c r="J54" s="104"/>
      <c r="K54" s="104"/>
      <c r="L54" s="104"/>
      <c r="M54" s="104"/>
      <c r="N54" s="104"/>
      <c r="O54" s="104"/>
      <c r="P54" s="104"/>
      <c r="Q54" s="104"/>
      <c r="R54" s="104"/>
      <c r="S54" s="104"/>
      <c r="T54" s="104"/>
      <c r="U54" s="104"/>
      <c r="V54" s="104"/>
      <c r="W54" s="104"/>
      <c r="X54" s="104"/>
      <c r="Y54" s="104"/>
      <c r="Z54" s="104"/>
      <c r="AA54" s="104"/>
    </row>
    <row r="55">
      <c r="A55" s="52"/>
      <c r="B55" s="52"/>
      <c r="C55" s="127" t="s">
        <v>583</v>
      </c>
      <c r="D55" s="127" t="s">
        <v>497</v>
      </c>
      <c r="E55" s="127" t="s">
        <v>489</v>
      </c>
      <c r="F55" s="52"/>
      <c r="G55" s="119"/>
      <c r="H55" s="104"/>
      <c r="I55" s="104"/>
      <c r="J55" s="104"/>
      <c r="K55" s="104"/>
      <c r="L55" s="104"/>
      <c r="M55" s="104"/>
      <c r="N55" s="104"/>
      <c r="O55" s="104"/>
      <c r="P55" s="104"/>
      <c r="Q55" s="104"/>
      <c r="R55" s="104"/>
      <c r="S55" s="104"/>
      <c r="T55" s="104"/>
      <c r="U55" s="104"/>
      <c r="V55" s="104"/>
      <c r="W55" s="104"/>
      <c r="X55" s="104"/>
      <c r="Y55" s="104"/>
      <c r="Z55" s="104"/>
      <c r="AA55" s="104"/>
    </row>
    <row r="56">
      <c r="A56" s="9"/>
      <c r="B56" s="9"/>
      <c r="C56" s="127" t="s">
        <v>584</v>
      </c>
      <c r="D56" s="127" t="s">
        <v>497</v>
      </c>
      <c r="E56" s="127" t="s">
        <v>489</v>
      </c>
      <c r="F56" s="52"/>
      <c r="G56" s="119"/>
      <c r="H56" s="104"/>
      <c r="I56" s="104"/>
      <c r="J56" s="104"/>
      <c r="K56" s="104"/>
      <c r="L56" s="104"/>
      <c r="M56" s="104"/>
      <c r="N56" s="104"/>
      <c r="O56" s="104"/>
      <c r="P56" s="104"/>
      <c r="Q56" s="104"/>
      <c r="R56" s="104"/>
      <c r="S56" s="104"/>
      <c r="T56" s="104"/>
      <c r="U56" s="104"/>
      <c r="V56" s="104"/>
      <c r="W56" s="104"/>
      <c r="X56" s="104"/>
      <c r="Y56" s="104"/>
      <c r="Z56" s="104"/>
      <c r="AA56" s="104"/>
    </row>
    <row r="57">
      <c r="A57" s="127">
        <v>34.0</v>
      </c>
      <c r="B57" s="132">
        <v>46058.0</v>
      </c>
      <c r="C57" s="127" t="s">
        <v>585</v>
      </c>
      <c r="D57" s="127" t="s">
        <v>586</v>
      </c>
      <c r="E57" s="127" t="s">
        <v>489</v>
      </c>
      <c r="F57" s="9"/>
      <c r="G57" s="119"/>
      <c r="H57" s="186" t="s">
        <v>549</v>
      </c>
      <c r="I57" s="104"/>
      <c r="J57" s="104"/>
      <c r="K57" s="104"/>
      <c r="L57" s="104"/>
      <c r="M57" s="104"/>
      <c r="N57" s="104"/>
      <c r="O57" s="104"/>
      <c r="P57" s="104"/>
      <c r="Q57" s="104"/>
      <c r="R57" s="104"/>
      <c r="S57" s="104"/>
      <c r="T57" s="104"/>
      <c r="U57" s="104"/>
      <c r="V57" s="104"/>
      <c r="W57" s="104"/>
      <c r="X57" s="104"/>
      <c r="Y57" s="104"/>
      <c r="Z57" s="104"/>
      <c r="AA57" s="104"/>
    </row>
    <row r="58">
      <c r="A58" s="129">
        <v>35.0</v>
      </c>
      <c r="B58" s="131">
        <v>46059.0</v>
      </c>
      <c r="C58" s="127" t="s">
        <v>587</v>
      </c>
      <c r="D58" s="127" t="s">
        <v>497</v>
      </c>
      <c r="E58" s="127" t="s">
        <v>489</v>
      </c>
      <c r="F58" s="129" t="s">
        <v>508</v>
      </c>
      <c r="G58" s="119"/>
      <c r="H58" s="104"/>
      <c r="I58" s="104"/>
      <c r="J58" s="104"/>
      <c r="K58" s="104"/>
      <c r="L58" s="104"/>
      <c r="M58" s="104"/>
      <c r="N58" s="104"/>
      <c r="O58" s="104"/>
      <c r="P58" s="104"/>
      <c r="Q58" s="104"/>
      <c r="R58" s="104"/>
      <c r="S58" s="104"/>
      <c r="T58" s="104"/>
      <c r="U58" s="104"/>
      <c r="V58" s="104"/>
      <c r="W58" s="104"/>
      <c r="X58" s="104"/>
      <c r="Y58" s="104"/>
      <c r="Z58" s="104"/>
      <c r="AA58" s="104"/>
    </row>
    <row r="59">
      <c r="A59" s="9"/>
      <c r="B59" s="9"/>
      <c r="C59" s="127" t="s">
        <v>588</v>
      </c>
      <c r="D59" s="127" t="s">
        <v>497</v>
      </c>
      <c r="E59" s="127" t="s">
        <v>489</v>
      </c>
      <c r="F59" s="9"/>
      <c r="G59" s="119"/>
      <c r="H59" s="104"/>
      <c r="I59" s="104"/>
      <c r="J59" s="104"/>
      <c r="K59" s="104"/>
      <c r="L59" s="104"/>
      <c r="M59" s="104"/>
      <c r="N59" s="104"/>
      <c r="O59" s="104"/>
      <c r="P59" s="104"/>
      <c r="Q59" s="104"/>
      <c r="R59" s="104"/>
      <c r="S59" s="104"/>
      <c r="T59" s="104"/>
      <c r="U59" s="104"/>
      <c r="V59" s="104"/>
      <c r="W59" s="104"/>
      <c r="X59" s="104"/>
      <c r="Y59" s="104"/>
      <c r="Z59" s="104"/>
      <c r="AA59" s="104"/>
    </row>
    <row r="60">
      <c r="A60" s="127">
        <v>36.0</v>
      </c>
      <c r="B60" s="132">
        <v>46060.0</v>
      </c>
      <c r="C60" s="127" t="s">
        <v>589</v>
      </c>
      <c r="D60" s="127" t="s">
        <v>590</v>
      </c>
      <c r="E60" s="127" t="s">
        <v>489</v>
      </c>
      <c r="F60" s="127" t="s">
        <v>475</v>
      </c>
      <c r="G60" s="119"/>
      <c r="H60" s="186" t="s">
        <v>549</v>
      </c>
      <c r="I60" s="104"/>
      <c r="J60" s="104"/>
      <c r="K60" s="104"/>
      <c r="L60" s="104"/>
      <c r="M60" s="104"/>
      <c r="N60" s="104"/>
      <c r="O60" s="104"/>
      <c r="P60" s="104"/>
      <c r="Q60" s="104"/>
      <c r="R60" s="104"/>
      <c r="S60" s="104"/>
      <c r="T60" s="104"/>
      <c r="U60" s="104"/>
      <c r="V60" s="104"/>
      <c r="W60" s="104"/>
      <c r="X60" s="104"/>
      <c r="Y60" s="104"/>
      <c r="Z60" s="104"/>
      <c r="AA60" s="104"/>
    </row>
    <row r="61">
      <c r="A61" s="127">
        <v>37.0</v>
      </c>
      <c r="B61" s="132">
        <v>46061.0</v>
      </c>
      <c r="C61" s="127" t="s">
        <v>591</v>
      </c>
      <c r="D61" s="127" t="s">
        <v>497</v>
      </c>
      <c r="E61" s="127" t="s">
        <v>489</v>
      </c>
      <c r="F61" s="127" t="s">
        <v>527</v>
      </c>
      <c r="G61" s="119"/>
      <c r="H61" s="104"/>
      <c r="I61" s="104"/>
      <c r="J61" s="104"/>
      <c r="K61" s="104"/>
      <c r="L61" s="104"/>
      <c r="M61" s="104"/>
      <c r="N61" s="104"/>
      <c r="O61" s="104"/>
      <c r="P61" s="104"/>
      <c r="Q61" s="104"/>
      <c r="R61" s="104"/>
      <c r="S61" s="104"/>
      <c r="T61" s="104"/>
      <c r="U61" s="104"/>
      <c r="V61" s="104"/>
      <c r="W61" s="104"/>
      <c r="X61" s="104"/>
      <c r="Y61" s="104"/>
      <c r="Z61" s="104"/>
      <c r="AA61" s="104"/>
    </row>
    <row r="62">
      <c r="A62" s="127">
        <v>38.0</v>
      </c>
      <c r="B62" s="132">
        <v>46062.0</v>
      </c>
      <c r="C62" s="127" t="s">
        <v>592</v>
      </c>
      <c r="D62" s="127" t="s">
        <v>497</v>
      </c>
      <c r="E62" s="127" t="s">
        <v>489</v>
      </c>
      <c r="F62" s="127" t="s">
        <v>538</v>
      </c>
      <c r="G62" s="119"/>
      <c r="H62" s="104"/>
      <c r="I62" s="104"/>
      <c r="J62" s="104"/>
      <c r="K62" s="104"/>
      <c r="L62" s="104"/>
      <c r="M62" s="104"/>
      <c r="N62" s="104"/>
      <c r="O62" s="104"/>
      <c r="P62" s="104"/>
      <c r="Q62" s="104"/>
      <c r="R62" s="104"/>
      <c r="S62" s="104"/>
      <c r="T62" s="104"/>
      <c r="U62" s="104"/>
      <c r="V62" s="104"/>
      <c r="W62" s="104"/>
      <c r="X62" s="104"/>
      <c r="Y62" s="104"/>
      <c r="Z62" s="104"/>
      <c r="AA62" s="104"/>
    </row>
    <row r="63">
      <c r="A63" s="127">
        <v>39.0</v>
      </c>
      <c r="B63" s="132">
        <v>46063.0</v>
      </c>
      <c r="C63" s="127" t="s">
        <v>593</v>
      </c>
      <c r="D63" s="127" t="s">
        <v>497</v>
      </c>
      <c r="E63" s="127" t="s">
        <v>489</v>
      </c>
      <c r="F63" s="119"/>
      <c r="G63" s="119"/>
      <c r="H63" s="104"/>
      <c r="I63" s="104"/>
      <c r="J63" s="104"/>
      <c r="K63" s="104"/>
      <c r="L63" s="104"/>
      <c r="M63" s="104"/>
      <c r="N63" s="104"/>
      <c r="O63" s="104"/>
      <c r="P63" s="104"/>
      <c r="Q63" s="104"/>
      <c r="R63" s="104"/>
      <c r="S63" s="104"/>
      <c r="T63" s="104"/>
      <c r="U63" s="104"/>
      <c r="V63" s="104"/>
      <c r="W63" s="104"/>
      <c r="X63" s="104"/>
      <c r="Y63" s="104"/>
      <c r="Z63" s="104"/>
      <c r="AA63" s="104"/>
    </row>
    <row r="64">
      <c r="A64" s="129">
        <v>40.0</v>
      </c>
      <c r="B64" s="131">
        <v>46067.0</v>
      </c>
      <c r="C64" s="127" t="s">
        <v>594</v>
      </c>
      <c r="D64" s="127" t="s">
        <v>497</v>
      </c>
      <c r="E64" s="127" t="s">
        <v>489</v>
      </c>
      <c r="F64" s="129" t="s">
        <v>475</v>
      </c>
      <c r="G64" s="119"/>
      <c r="H64" s="104"/>
      <c r="I64" s="104"/>
      <c r="J64" s="104"/>
      <c r="K64" s="104"/>
      <c r="L64" s="104"/>
      <c r="M64" s="104"/>
      <c r="N64" s="104"/>
      <c r="O64" s="104"/>
      <c r="P64" s="104"/>
      <c r="Q64" s="104"/>
      <c r="R64" s="104"/>
      <c r="S64" s="104"/>
      <c r="T64" s="104"/>
      <c r="U64" s="104"/>
      <c r="V64" s="104"/>
      <c r="W64" s="104"/>
      <c r="X64" s="104"/>
      <c r="Y64" s="104"/>
      <c r="Z64" s="104"/>
      <c r="AA64" s="104"/>
    </row>
    <row r="65">
      <c r="A65" s="52"/>
      <c r="B65" s="52"/>
      <c r="C65" s="127" t="s">
        <v>595</v>
      </c>
      <c r="D65" s="127" t="s">
        <v>590</v>
      </c>
      <c r="E65" s="127" t="s">
        <v>489</v>
      </c>
      <c r="F65" s="52"/>
      <c r="G65" s="119"/>
      <c r="H65" s="104"/>
      <c r="I65" s="104"/>
      <c r="J65" s="104"/>
      <c r="K65" s="104"/>
      <c r="L65" s="104"/>
      <c r="M65" s="104"/>
      <c r="N65" s="104"/>
      <c r="O65" s="104"/>
      <c r="P65" s="104"/>
      <c r="Q65" s="104"/>
      <c r="R65" s="104"/>
      <c r="S65" s="104"/>
      <c r="T65" s="104"/>
      <c r="U65" s="104"/>
      <c r="V65" s="104"/>
      <c r="W65" s="104"/>
      <c r="X65" s="104"/>
      <c r="Y65" s="104"/>
      <c r="Z65" s="104"/>
      <c r="AA65" s="104"/>
    </row>
    <row r="66">
      <c r="A66" s="9"/>
      <c r="B66" s="9"/>
      <c r="C66" s="127" t="s">
        <v>596</v>
      </c>
      <c r="D66" s="127" t="s">
        <v>497</v>
      </c>
      <c r="E66" s="127" t="s">
        <v>489</v>
      </c>
      <c r="F66" s="9"/>
      <c r="G66" s="119"/>
      <c r="H66" s="104"/>
      <c r="I66" s="104"/>
      <c r="J66" s="104"/>
      <c r="K66" s="104"/>
      <c r="L66" s="104"/>
      <c r="M66" s="104"/>
      <c r="N66" s="104"/>
      <c r="O66" s="104"/>
      <c r="P66" s="104"/>
      <c r="Q66" s="104"/>
      <c r="R66" s="104"/>
      <c r="S66" s="104"/>
      <c r="T66" s="104"/>
      <c r="U66" s="104"/>
      <c r="V66" s="104"/>
      <c r="W66" s="104"/>
      <c r="X66" s="104"/>
      <c r="Y66" s="104"/>
      <c r="Z66" s="104"/>
      <c r="AA66" s="104"/>
    </row>
    <row r="67">
      <c r="A67" s="127">
        <v>41.0</v>
      </c>
      <c r="B67" s="132">
        <v>46068.0</v>
      </c>
      <c r="C67" s="127" t="s">
        <v>597</v>
      </c>
      <c r="D67" s="127" t="s">
        <v>598</v>
      </c>
      <c r="E67" s="127" t="s">
        <v>489</v>
      </c>
      <c r="F67" s="127" t="s">
        <v>538</v>
      </c>
      <c r="G67" s="119"/>
      <c r="H67" s="104"/>
      <c r="I67" s="104"/>
      <c r="J67" s="104"/>
      <c r="K67" s="104"/>
      <c r="L67" s="104"/>
      <c r="M67" s="104"/>
      <c r="N67" s="104"/>
      <c r="O67" s="104"/>
      <c r="P67" s="104"/>
      <c r="Q67" s="104"/>
      <c r="R67" s="104"/>
      <c r="S67" s="104"/>
      <c r="T67" s="104"/>
      <c r="U67" s="104"/>
      <c r="V67" s="104"/>
      <c r="W67" s="104"/>
      <c r="X67" s="104"/>
      <c r="Y67" s="104"/>
      <c r="Z67" s="104"/>
      <c r="AA67" s="104"/>
    </row>
    <row r="68">
      <c r="A68" s="127">
        <v>42.0</v>
      </c>
      <c r="B68" s="132">
        <v>46069.0</v>
      </c>
      <c r="C68" s="127" t="s">
        <v>599</v>
      </c>
      <c r="D68" s="127" t="s">
        <v>600</v>
      </c>
      <c r="E68" s="127" t="s">
        <v>489</v>
      </c>
      <c r="F68" s="127" t="s">
        <v>506</v>
      </c>
      <c r="G68" s="119"/>
      <c r="H68" s="186" t="s">
        <v>549</v>
      </c>
      <c r="I68" s="104"/>
      <c r="J68" s="104"/>
      <c r="K68" s="104"/>
      <c r="L68" s="104"/>
      <c r="M68" s="104"/>
      <c r="N68" s="104"/>
      <c r="O68" s="104"/>
      <c r="P68" s="104"/>
      <c r="Q68" s="104"/>
      <c r="R68" s="104"/>
      <c r="S68" s="104"/>
      <c r="T68" s="104"/>
      <c r="U68" s="104"/>
      <c r="V68" s="104"/>
      <c r="W68" s="104"/>
      <c r="X68" s="104"/>
      <c r="Y68" s="104"/>
      <c r="Z68" s="104"/>
      <c r="AA68" s="104"/>
    </row>
    <row r="69">
      <c r="A69" s="127">
        <v>43.0</v>
      </c>
      <c r="B69" s="132">
        <v>46071.0</v>
      </c>
      <c r="C69" s="127" t="s">
        <v>601</v>
      </c>
      <c r="D69" s="127" t="s">
        <v>497</v>
      </c>
      <c r="E69" s="127" t="s">
        <v>489</v>
      </c>
      <c r="F69" s="127" t="s">
        <v>512</v>
      </c>
      <c r="G69" s="119"/>
      <c r="H69" s="186" t="s">
        <v>549</v>
      </c>
      <c r="I69" s="104"/>
      <c r="J69" s="104"/>
      <c r="K69" s="104"/>
      <c r="L69" s="104"/>
      <c r="M69" s="104"/>
      <c r="N69" s="104"/>
      <c r="O69" s="104"/>
      <c r="P69" s="104"/>
      <c r="Q69" s="104"/>
      <c r="R69" s="104"/>
      <c r="S69" s="104"/>
      <c r="T69" s="104"/>
      <c r="U69" s="104"/>
      <c r="V69" s="104"/>
      <c r="W69" s="104"/>
      <c r="X69" s="104"/>
      <c r="Y69" s="104"/>
      <c r="Z69" s="104"/>
      <c r="AA69" s="104"/>
    </row>
    <row r="70">
      <c r="A70" s="127">
        <v>44.0</v>
      </c>
      <c r="B70" s="132">
        <v>46072.0</v>
      </c>
      <c r="C70" s="127" t="s">
        <v>602</v>
      </c>
      <c r="D70" s="127" t="s">
        <v>497</v>
      </c>
      <c r="E70" s="127" t="s">
        <v>489</v>
      </c>
      <c r="F70" s="119"/>
      <c r="G70" s="119"/>
      <c r="H70" s="186" t="s">
        <v>549</v>
      </c>
      <c r="I70" s="104"/>
      <c r="J70" s="104"/>
      <c r="K70" s="104"/>
      <c r="L70" s="104"/>
      <c r="M70" s="104"/>
      <c r="N70" s="104"/>
      <c r="O70" s="104"/>
      <c r="P70" s="104"/>
      <c r="Q70" s="104"/>
      <c r="R70" s="104"/>
      <c r="S70" s="104"/>
      <c r="T70" s="104"/>
      <c r="U70" s="104"/>
      <c r="V70" s="104"/>
      <c r="W70" s="104"/>
      <c r="X70" s="104"/>
      <c r="Y70" s="104"/>
      <c r="Z70" s="104"/>
      <c r="AA70" s="104"/>
    </row>
    <row r="71">
      <c r="A71" s="187"/>
      <c r="B71" s="187"/>
      <c r="C71" s="187"/>
      <c r="D71" s="187"/>
      <c r="E71" s="187"/>
      <c r="F71" s="187"/>
      <c r="G71" s="187"/>
      <c r="H71" s="104"/>
      <c r="I71" s="104"/>
      <c r="J71" s="104"/>
      <c r="K71" s="104"/>
      <c r="L71" s="104"/>
      <c r="M71" s="104"/>
      <c r="N71" s="104"/>
      <c r="O71" s="104"/>
      <c r="P71" s="104"/>
      <c r="Q71" s="104"/>
      <c r="R71" s="104"/>
      <c r="S71" s="104"/>
      <c r="T71" s="104"/>
      <c r="U71" s="104"/>
      <c r="V71" s="104"/>
      <c r="W71" s="104"/>
      <c r="X71" s="104"/>
      <c r="Y71" s="104"/>
      <c r="Z71" s="104"/>
      <c r="AA71" s="104"/>
    </row>
    <row r="72">
      <c r="A72" s="127">
        <v>45.0</v>
      </c>
      <c r="B72" s="128">
        <v>46099.0</v>
      </c>
      <c r="C72" s="127" t="s">
        <v>603</v>
      </c>
      <c r="D72" s="127" t="s">
        <v>497</v>
      </c>
      <c r="E72" s="127" t="s">
        <v>489</v>
      </c>
      <c r="F72" s="127" t="s">
        <v>604</v>
      </c>
      <c r="G72" s="119"/>
      <c r="H72" s="186" t="s">
        <v>549</v>
      </c>
      <c r="I72" s="104"/>
      <c r="J72" s="104"/>
      <c r="K72" s="104"/>
      <c r="L72" s="104"/>
      <c r="M72" s="104"/>
      <c r="N72" s="104"/>
      <c r="O72" s="104"/>
      <c r="P72" s="104"/>
      <c r="Q72" s="104"/>
      <c r="R72" s="104"/>
      <c r="S72" s="104"/>
      <c r="T72" s="104"/>
      <c r="U72" s="104"/>
      <c r="V72" s="104"/>
      <c r="W72" s="104"/>
      <c r="X72" s="104"/>
      <c r="Y72" s="104"/>
      <c r="Z72" s="104"/>
      <c r="AA72" s="104"/>
    </row>
    <row r="73">
      <c r="A73" s="127">
        <v>46.0</v>
      </c>
      <c r="B73" s="128">
        <v>46102.0</v>
      </c>
      <c r="C73" s="127" t="s">
        <v>605</v>
      </c>
      <c r="D73" s="127" t="s">
        <v>526</v>
      </c>
      <c r="E73" s="127" t="s">
        <v>489</v>
      </c>
      <c r="F73" s="127" t="s">
        <v>527</v>
      </c>
      <c r="G73" s="119"/>
      <c r="H73" s="186" t="s">
        <v>549</v>
      </c>
      <c r="I73" s="104"/>
      <c r="J73" s="104"/>
      <c r="K73" s="104"/>
      <c r="L73" s="104"/>
      <c r="M73" s="104"/>
      <c r="N73" s="104"/>
      <c r="O73" s="104"/>
      <c r="P73" s="104"/>
      <c r="Q73" s="104"/>
      <c r="R73" s="104"/>
      <c r="S73" s="104"/>
      <c r="T73" s="104"/>
      <c r="U73" s="104"/>
      <c r="V73" s="104"/>
      <c r="W73" s="104"/>
      <c r="X73" s="104"/>
      <c r="Y73" s="104"/>
      <c r="Z73" s="104"/>
      <c r="AA73" s="104"/>
    </row>
    <row r="74">
      <c r="A74" s="127">
        <v>47.0</v>
      </c>
      <c r="B74" s="128">
        <v>46103.0</v>
      </c>
      <c r="C74" s="127" t="s">
        <v>606</v>
      </c>
      <c r="D74" s="127" t="s">
        <v>607</v>
      </c>
      <c r="E74" s="127" t="s">
        <v>489</v>
      </c>
      <c r="F74" s="127" t="s">
        <v>508</v>
      </c>
      <c r="G74" s="119"/>
      <c r="H74" s="186" t="s">
        <v>549</v>
      </c>
      <c r="I74" s="104"/>
      <c r="J74" s="104"/>
      <c r="K74" s="104"/>
      <c r="L74" s="104"/>
      <c r="M74" s="104"/>
      <c r="N74" s="104"/>
      <c r="O74" s="104"/>
      <c r="P74" s="104"/>
      <c r="Q74" s="104"/>
      <c r="R74" s="104"/>
      <c r="S74" s="104"/>
      <c r="T74" s="104"/>
      <c r="U74" s="104"/>
      <c r="V74" s="104"/>
      <c r="W74" s="104"/>
      <c r="X74" s="104"/>
      <c r="Y74" s="104"/>
      <c r="Z74" s="104"/>
      <c r="AA74" s="104"/>
    </row>
    <row r="75">
      <c r="A75" s="127">
        <v>48.0</v>
      </c>
      <c r="B75" s="128">
        <v>46105.0</v>
      </c>
      <c r="C75" s="127" t="s">
        <v>608</v>
      </c>
      <c r="D75" s="127" t="s">
        <v>497</v>
      </c>
      <c r="E75" s="127" t="s">
        <v>489</v>
      </c>
      <c r="F75" s="127" t="s">
        <v>512</v>
      </c>
      <c r="G75" s="119"/>
      <c r="H75" s="104"/>
      <c r="I75" s="104"/>
      <c r="J75" s="104"/>
      <c r="K75" s="104"/>
      <c r="L75" s="104"/>
      <c r="M75" s="104"/>
      <c r="N75" s="104"/>
      <c r="O75" s="104"/>
      <c r="P75" s="104"/>
      <c r="Q75" s="104"/>
      <c r="R75" s="104"/>
      <c r="S75" s="104"/>
      <c r="T75" s="104"/>
      <c r="U75" s="104"/>
      <c r="V75" s="104"/>
      <c r="W75" s="104"/>
      <c r="X75" s="104"/>
      <c r="Y75" s="104"/>
      <c r="Z75" s="104"/>
      <c r="AA75" s="104"/>
    </row>
    <row r="76">
      <c r="A76" s="127">
        <v>49.0</v>
      </c>
      <c r="B76" s="128">
        <v>46107.0</v>
      </c>
      <c r="C76" s="127" t="s">
        <v>609</v>
      </c>
      <c r="D76" s="127" t="s">
        <v>497</v>
      </c>
      <c r="E76" s="127" t="s">
        <v>489</v>
      </c>
      <c r="F76" s="127" t="s">
        <v>604</v>
      </c>
      <c r="G76" s="119"/>
      <c r="H76" s="104"/>
      <c r="I76" s="104"/>
      <c r="J76" s="104"/>
      <c r="K76" s="104"/>
      <c r="L76" s="104"/>
      <c r="M76" s="104"/>
      <c r="N76" s="104"/>
      <c r="O76" s="104"/>
      <c r="P76" s="104"/>
      <c r="Q76" s="104"/>
      <c r="R76" s="104"/>
      <c r="S76" s="104"/>
      <c r="T76" s="104"/>
      <c r="U76" s="104"/>
      <c r="V76" s="104"/>
      <c r="W76" s="104"/>
      <c r="X76" s="104"/>
      <c r="Y76" s="104"/>
      <c r="Z76" s="104"/>
      <c r="AA76" s="104"/>
    </row>
    <row r="77">
      <c r="A77" s="127">
        <v>50.0</v>
      </c>
      <c r="B77" s="128">
        <v>46108.0</v>
      </c>
      <c r="C77" s="127" t="s">
        <v>610</v>
      </c>
      <c r="D77" s="127" t="s">
        <v>497</v>
      </c>
      <c r="E77" s="127" t="s">
        <v>489</v>
      </c>
      <c r="F77" s="127" t="s">
        <v>538</v>
      </c>
      <c r="G77" s="119"/>
      <c r="H77" s="104"/>
      <c r="I77" s="104"/>
      <c r="J77" s="104"/>
      <c r="K77" s="104"/>
      <c r="L77" s="104"/>
      <c r="M77" s="104"/>
      <c r="N77" s="104"/>
      <c r="O77" s="104"/>
      <c r="P77" s="104"/>
      <c r="Q77" s="104"/>
      <c r="R77" s="104"/>
      <c r="S77" s="104"/>
      <c r="T77" s="104"/>
      <c r="U77" s="104"/>
      <c r="V77" s="104"/>
      <c r="W77" s="104"/>
      <c r="X77" s="104"/>
      <c r="Y77" s="104"/>
      <c r="Z77" s="104"/>
      <c r="AA77" s="104"/>
    </row>
    <row r="78">
      <c r="A78" s="127">
        <v>51.0</v>
      </c>
      <c r="B78" s="128">
        <v>46109.0</v>
      </c>
      <c r="C78" s="127" t="s">
        <v>611</v>
      </c>
      <c r="D78" s="127" t="s">
        <v>612</v>
      </c>
      <c r="E78" s="127" t="s">
        <v>489</v>
      </c>
      <c r="F78" s="127" t="s">
        <v>527</v>
      </c>
      <c r="G78" s="119"/>
      <c r="H78" s="104"/>
      <c r="I78" s="104"/>
      <c r="J78" s="104"/>
      <c r="K78" s="104"/>
      <c r="L78" s="104"/>
      <c r="M78" s="104"/>
      <c r="N78" s="104"/>
      <c r="O78" s="104"/>
      <c r="P78" s="104"/>
      <c r="Q78" s="104"/>
      <c r="R78" s="104"/>
      <c r="S78" s="104"/>
      <c r="T78" s="104"/>
      <c r="U78" s="104"/>
      <c r="V78" s="104"/>
      <c r="W78" s="104"/>
      <c r="X78" s="104"/>
      <c r="Y78" s="104"/>
      <c r="Z78" s="104"/>
      <c r="AA78" s="104"/>
    </row>
    <row r="79">
      <c r="A79" s="127">
        <v>52.0</v>
      </c>
      <c r="B79" s="128">
        <v>46109.0</v>
      </c>
      <c r="C79" s="127" t="s">
        <v>613</v>
      </c>
      <c r="D79" s="127" t="s">
        <v>497</v>
      </c>
      <c r="E79" s="127" t="s">
        <v>489</v>
      </c>
      <c r="F79" s="127" t="s">
        <v>527</v>
      </c>
      <c r="G79" s="119"/>
      <c r="H79" s="104"/>
      <c r="I79" s="104"/>
      <c r="J79" s="104"/>
      <c r="K79" s="104"/>
      <c r="L79" s="104"/>
      <c r="M79" s="104"/>
      <c r="N79" s="104"/>
      <c r="O79" s="104"/>
      <c r="P79" s="104"/>
      <c r="Q79" s="104"/>
      <c r="R79" s="104"/>
      <c r="S79" s="104"/>
      <c r="T79" s="104"/>
      <c r="U79" s="104"/>
      <c r="V79" s="104"/>
      <c r="W79" s="104"/>
      <c r="X79" s="104"/>
      <c r="Y79" s="104"/>
      <c r="Z79" s="104"/>
      <c r="AA79" s="104"/>
    </row>
    <row r="80">
      <c r="A80" s="127">
        <v>53.0</v>
      </c>
      <c r="B80" s="128">
        <v>46109.0</v>
      </c>
      <c r="C80" s="127" t="s">
        <v>614</v>
      </c>
      <c r="D80" s="127" t="s">
        <v>615</v>
      </c>
      <c r="E80" s="127" t="s">
        <v>489</v>
      </c>
      <c r="F80" s="127" t="s">
        <v>527</v>
      </c>
      <c r="G80" s="119"/>
      <c r="H80" s="104"/>
      <c r="I80" s="104"/>
      <c r="J80" s="104"/>
      <c r="K80" s="104"/>
      <c r="L80" s="104"/>
      <c r="M80" s="104"/>
      <c r="N80" s="104"/>
      <c r="O80" s="104"/>
      <c r="P80" s="104"/>
      <c r="Q80" s="104"/>
      <c r="R80" s="104"/>
      <c r="S80" s="104"/>
      <c r="T80" s="104"/>
      <c r="U80" s="104"/>
      <c r="V80" s="104"/>
      <c r="W80" s="104"/>
      <c r="X80" s="104"/>
      <c r="Y80" s="104"/>
      <c r="Z80" s="104"/>
      <c r="AA80" s="104"/>
    </row>
    <row r="81">
      <c r="A81" s="127">
        <v>54.0</v>
      </c>
      <c r="B81" s="128">
        <v>46109.0</v>
      </c>
      <c r="C81" s="127" t="s">
        <v>616</v>
      </c>
      <c r="D81" s="127" t="s">
        <v>617</v>
      </c>
      <c r="E81" s="127" t="s">
        <v>489</v>
      </c>
      <c r="F81" s="127" t="s">
        <v>527</v>
      </c>
      <c r="G81" s="119"/>
      <c r="H81" s="104"/>
      <c r="I81" s="104"/>
      <c r="J81" s="104"/>
      <c r="K81" s="104"/>
      <c r="L81" s="104"/>
      <c r="M81" s="104"/>
      <c r="N81" s="104"/>
      <c r="O81" s="104"/>
      <c r="P81" s="104"/>
      <c r="Q81" s="104"/>
      <c r="R81" s="104"/>
      <c r="S81" s="104"/>
      <c r="T81" s="104"/>
      <c r="U81" s="104"/>
      <c r="V81" s="104"/>
      <c r="W81" s="104"/>
      <c r="X81" s="104"/>
      <c r="Y81" s="104"/>
      <c r="Z81" s="104"/>
      <c r="AA81" s="104"/>
    </row>
    <row r="82">
      <c r="A82" s="127">
        <v>55.0</v>
      </c>
      <c r="B82" s="128">
        <v>46110.0</v>
      </c>
      <c r="C82" s="127" t="s">
        <v>618</v>
      </c>
      <c r="D82" s="127" t="s">
        <v>497</v>
      </c>
      <c r="E82" s="127" t="s">
        <v>489</v>
      </c>
      <c r="F82" s="127" t="s">
        <v>506</v>
      </c>
      <c r="G82" s="119"/>
      <c r="H82" s="104"/>
      <c r="I82" s="104"/>
      <c r="J82" s="104"/>
      <c r="K82" s="104"/>
      <c r="L82" s="104"/>
      <c r="M82" s="104"/>
      <c r="N82" s="104"/>
      <c r="O82" s="104"/>
      <c r="P82" s="104"/>
      <c r="Q82" s="104"/>
      <c r="R82" s="104"/>
      <c r="S82" s="104"/>
      <c r="T82" s="104"/>
      <c r="U82" s="104"/>
      <c r="V82" s="104"/>
      <c r="W82" s="104"/>
      <c r="X82" s="104"/>
      <c r="Y82" s="104"/>
      <c r="Z82" s="104"/>
      <c r="AA82" s="104"/>
    </row>
    <row r="83">
      <c r="A83" s="127">
        <v>56.0</v>
      </c>
      <c r="B83" s="128">
        <v>46111.0</v>
      </c>
      <c r="C83" s="127" t="s">
        <v>619</v>
      </c>
      <c r="D83" s="127" t="s">
        <v>497</v>
      </c>
      <c r="E83" s="127" t="s">
        <v>489</v>
      </c>
      <c r="F83" s="127" t="s">
        <v>512</v>
      </c>
      <c r="G83" s="119"/>
      <c r="H83" s="104"/>
      <c r="I83" s="104"/>
      <c r="J83" s="104"/>
      <c r="K83" s="104"/>
      <c r="L83" s="104"/>
      <c r="M83" s="104"/>
      <c r="N83" s="104"/>
      <c r="O83" s="104"/>
      <c r="P83" s="104"/>
      <c r="Q83" s="104"/>
      <c r="R83" s="104"/>
      <c r="S83" s="104"/>
      <c r="T83" s="104"/>
      <c r="U83" s="104"/>
      <c r="V83" s="104"/>
      <c r="W83" s="104"/>
      <c r="X83" s="104"/>
      <c r="Y83" s="104"/>
      <c r="Z83" s="104"/>
      <c r="AA83" s="104"/>
    </row>
    <row r="84">
      <c r="A84" s="127">
        <v>57.0</v>
      </c>
      <c r="B84" s="128">
        <v>46112.0</v>
      </c>
      <c r="C84" s="127" t="s">
        <v>620</v>
      </c>
      <c r="D84" s="127" t="s">
        <v>497</v>
      </c>
      <c r="E84" s="127" t="s">
        <v>489</v>
      </c>
      <c r="F84" s="127" t="s">
        <v>604</v>
      </c>
      <c r="G84" s="119"/>
      <c r="H84" s="104"/>
      <c r="I84" s="104"/>
      <c r="J84" s="104"/>
      <c r="K84" s="104"/>
      <c r="L84" s="104"/>
      <c r="M84" s="104"/>
      <c r="N84" s="104"/>
      <c r="O84" s="104"/>
      <c r="P84" s="104"/>
      <c r="Q84" s="104"/>
      <c r="R84" s="104"/>
      <c r="S84" s="104"/>
      <c r="T84" s="104"/>
      <c r="U84" s="104"/>
      <c r="V84" s="104"/>
      <c r="W84" s="104"/>
      <c r="X84" s="104"/>
      <c r="Y84" s="104"/>
      <c r="Z84" s="104"/>
      <c r="AA84" s="104"/>
    </row>
    <row r="85">
      <c r="A85" s="127">
        <v>58.0</v>
      </c>
      <c r="B85" s="128">
        <v>46112.0</v>
      </c>
      <c r="C85" s="127" t="s">
        <v>621</v>
      </c>
      <c r="D85" s="127" t="s">
        <v>526</v>
      </c>
      <c r="E85" s="127" t="s">
        <v>489</v>
      </c>
      <c r="F85" s="127" t="s">
        <v>604</v>
      </c>
      <c r="G85" s="119"/>
      <c r="H85" s="104"/>
      <c r="I85" s="104"/>
      <c r="J85" s="104"/>
      <c r="K85" s="104"/>
      <c r="L85" s="104"/>
      <c r="M85" s="104"/>
      <c r="N85" s="104"/>
      <c r="O85" s="104"/>
      <c r="P85" s="104"/>
      <c r="Q85" s="104"/>
      <c r="R85" s="104"/>
      <c r="S85" s="104"/>
      <c r="T85" s="104"/>
      <c r="U85" s="104"/>
      <c r="V85" s="104"/>
      <c r="W85" s="104"/>
      <c r="X85" s="104"/>
      <c r="Y85" s="104"/>
      <c r="Z85" s="104"/>
      <c r="AA85" s="104"/>
    </row>
    <row r="86">
      <c r="A86" s="127">
        <f t="shared" ref="A86:A98" si="1">A85+1</f>
        <v>59</v>
      </c>
      <c r="B86" s="128">
        <v>46114.0</v>
      </c>
      <c r="C86" s="127" t="s">
        <v>622</v>
      </c>
      <c r="D86" s="127" t="s">
        <v>497</v>
      </c>
      <c r="E86" s="127" t="s">
        <v>489</v>
      </c>
      <c r="F86" s="127" t="s">
        <v>538</v>
      </c>
      <c r="G86" s="119"/>
      <c r="H86" s="104"/>
      <c r="I86" s="104"/>
      <c r="J86" s="104"/>
      <c r="K86" s="104"/>
      <c r="L86" s="104"/>
      <c r="M86" s="104"/>
      <c r="N86" s="104"/>
      <c r="O86" s="104"/>
      <c r="P86" s="104"/>
      <c r="Q86" s="104"/>
      <c r="R86" s="104"/>
      <c r="S86" s="104"/>
      <c r="T86" s="104"/>
      <c r="U86" s="104"/>
      <c r="V86" s="104"/>
      <c r="W86" s="104"/>
      <c r="X86" s="104"/>
      <c r="Y86" s="104"/>
      <c r="Z86" s="104"/>
      <c r="AA86" s="104"/>
    </row>
    <row r="87">
      <c r="A87" s="127">
        <f t="shared" si="1"/>
        <v>60</v>
      </c>
      <c r="B87" s="128">
        <v>46114.0</v>
      </c>
      <c r="C87" s="127" t="s">
        <v>623</v>
      </c>
      <c r="D87" s="127" t="s">
        <v>497</v>
      </c>
      <c r="E87" s="127" t="s">
        <v>489</v>
      </c>
      <c r="F87" s="127" t="s">
        <v>538</v>
      </c>
      <c r="G87" s="119"/>
      <c r="H87" s="104"/>
      <c r="I87" s="104"/>
      <c r="J87" s="104"/>
      <c r="K87" s="104"/>
      <c r="L87" s="104"/>
      <c r="M87" s="104"/>
      <c r="N87" s="104"/>
      <c r="O87" s="104"/>
      <c r="P87" s="104"/>
      <c r="Q87" s="104"/>
      <c r="R87" s="104"/>
      <c r="S87" s="104"/>
      <c r="T87" s="104"/>
      <c r="U87" s="104"/>
      <c r="V87" s="104"/>
      <c r="W87" s="104"/>
      <c r="X87" s="104"/>
      <c r="Y87" s="104"/>
      <c r="Z87" s="104"/>
      <c r="AA87" s="104"/>
    </row>
    <row r="88">
      <c r="A88" s="127">
        <f t="shared" si="1"/>
        <v>61</v>
      </c>
      <c r="B88" s="128">
        <v>46115.0</v>
      </c>
      <c r="C88" s="127" t="s">
        <v>624</v>
      </c>
      <c r="D88" s="127" t="s">
        <v>497</v>
      </c>
      <c r="E88" s="127" t="s">
        <v>489</v>
      </c>
      <c r="F88" s="127" t="s">
        <v>506</v>
      </c>
      <c r="G88" s="119"/>
      <c r="H88" s="104"/>
      <c r="I88" s="104"/>
      <c r="J88" s="104"/>
      <c r="K88" s="104"/>
      <c r="L88" s="104"/>
      <c r="M88" s="104"/>
      <c r="N88" s="104"/>
      <c r="O88" s="104"/>
      <c r="P88" s="104"/>
      <c r="Q88" s="104"/>
      <c r="R88" s="104"/>
      <c r="S88" s="104"/>
      <c r="T88" s="104"/>
      <c r="U88" s="104"/>
      <c r="V88" s="104"/>
      <c r="W88" s="104"/>
      <c r="X88" s="104"/>
      <c r="Y88" s="104"/>
      <c r="Z88" s="104"/>
      <c r="AA88" s="104"/>
    </row>
    <row r="89">
      <c r="A89" s="127">
        <f t="shared" si="1"/>
        <v>62</v>
      </c>
      <c r="B89" s="128">
        <v>46115.0</v>
      </c>
      <c r="C89" s="127" t="s">
        <v>625</v>
      </c>
      <c r="D89" s="127" t="s">
        <v>497</v>
      </c>
      <c r="E89" s="127" t="s">
        <v>489</v>
      </c>
      <c r="F89" s="127" t="s">
        <v>506</v>
      </c>
      <c r="G89" s="119"/>
      <c r="H89" s="104"/>
      <c r="I89" s="104"/>
      <c r="J89" s="104"/>
      <c r="K89" s="104"/>
      <c r="L89" s="104"/>
      <c r="M89" s="104"/>
      <c r="N89" s="104"/>
      <c r="O89" s="104"/>
      <c r="P89" s="104"/>
      <c r="Q89" s="104"/>
      <c r="R89" s="104"/>
      <c r="S89" s="104"/>
      <c r="T89" s="104"/>
      <c r="U89" s="104"/>
      <c r="V89" s="104"/>
      <c r="W89" s="104"/>
      <c r="X89" s="104"/>
      <c r="Y89" s="104"/>
      <c r="Z89" s="104"/>
      <c r="AA89" s="104"/>
    </row>
    <row r="90">
      <c r="A90" s="127">
        <f t="shared" si="1"/>
        <v>63</v>
      </c>
      <c r="B90" s="128">
        <v>46116.0</v>
      </c>
      <c r="C90" s="127" t="s">
        <v>626</v>
      </c>
      <c r="D90" s="127" t="s">
        <v>627</v>
      </c>
      <c r="E90" s="127" t="s">
        <v>489</v>
      </c>
      <c r="F90" s="127" t="s">
        <v>527</v>
      </c>
      <c r="G90" s="119"/>
      <c r="H90" s="104"/>
      <c r="I90" s="104"/>
      <c r="J90" s="104"/>
      <c r="K90" s="104"/>
      <c r="L90" s="104"/>
      <c r="M90" s="104"/>
      <c r="N90" s="104"/>
      <c r="O90" s="104"/>
      <c r="P90" s="104"/>
      <c r="Q90" s="104"/>
      <c r="R90" s="104"/>
      <c r="S90" s="104"/>
      <c r="T90" s="104"/>
      <c r="U90" s="104"/>
      <c r="V90" s="104"/>
      <c r="W90" s="104"/>
      <c r="X90" s="104"/>
      <c r="Y90" s="104"/>
      <c r="Z90" s="104"/>
      <c r="AA90" s="104"/>
    </row>
    <row r="91">
      <c r="A91" s="127">
        <f t="shared" si="1"/>
        <v>64</v>
      </c>
      <c r="B91" s="128">
        <v>46117.0</v>
      </c>
      <c r="C91" s="127" t="s">
        <v>628</v>
      </c>
      <c r="D91" s="127" t="s">
        <v>497</v>
      </c>
      <c r="E91" s="127" t="s">
        <v>489</v>
      </c>
      <c r="F91" s="127" t="s">
        <v>527</v>
      </c>
      <c r="G91" s="119"/>
      <c r="H91" s="104"/>
      <c r="I91" s="104"/>
      <c r="J91" s="104"/>
      <c r="K91" s="104"/>
      <c r="L91" s="104"/>
      <c r="M91" s="104"/>
      <c r="N91" s="104"/>
      <c r="O91" s="104"/>
      <c r="P91" s="104"/>
      <c r="Q91" s="104"/>
      <c r="R91" s="104"/>
      <c r="S91" s="104"/>
      <c r="T91" s="104"/>
      <c r="U91" s="104"/>
      <c r="V91" s="104"/>
      <c r="W91" s="104"/>
      <c r="X91" s="104"/>
      <c r="Y91" s="104"/>
      <c r="Z91" s="104"/>
      <c r="AA91" s="104"/>
    </row>
    <row r="92">
      <c r="A92" s="127">
        <f t="shared" si="1"/>
        <v>65</v>
      </c>
      <c r="B92" s="128">
        <v>46119.0</v>
      </c>
      <c r="C92" s="127" t="s">
        <v>629</v>
      </c>
      <c r="D92" s="127" t="s">
        <v>497</v>
      </c>
      <c r="E92" s="127" t="s">
        <v>489</v>
      </c>
      <c r="F92" s="127" t="s">
        <v>604</v>
      </c>
      <c r="G92" s="119"/>
      <c r="H92" s="104"/>
      <c r="I92" s="104"/>
      <c r="J92" s="104"/>
      <c r="K92" s="104"/>
      <c r="L92" s="104"/>
      <c r="M92" s="104"/>
      <c r="N92" s="104"/>
      <c r="O92" s="104"/>
      <c r="P92" s="104"/>
      <c r="Q92" s="104"/>
      <c r="R92" s="104"/>
      <c r="S92" s="104"/>
      <c r="T92" s="104"/>
      <c r="U92" s="104"/>
      <c r="V92" s="104"/>
      <c r="W92" s="104"/>
      <c r="X92" s="104"/>
      <c r="Y92" s="104"/>
      <c r="Z92" s="104"/>
      <c r="AA92" s="104"/>
    </row>
    <row r="93">
      <c r="A93" s="127">
        <f t="shared" si="1"/>
        <v>66</v>
      </c>
      <c r="B93" s="128">
        <v>46120.0</v>
      </c>
      <c r="C93" s="127" t="s">
        <v>630</v>
      </c>
      <c r="D93" s="127" t="s">
        <v>497</v>
      </c>
      <c r="E93" s="127" t="s">
        <v>489</v>
      </c>
      <c r="F93" s="127" t="s">
        <v>538</v>
      </c>
      <c r="G93" s="119"/>
      <c r="H93" s="104"/>
      <c r="I93" s="104"/>
      <c r="J93" s="104"/>
      <c r="K93" s="104"/>
      <c r="L93" s="104"/>
      <c r="M93" s="104"/>
      <c r="N93" s="104"/>
      <c r="O93" s="104"/>
      <c r="P93" s="104"/>
      <c r="Q93" s="104"/>
      <c r="R93" s="104"/>
      <c r="S93" s="104"/>
      <c r="T93" s="104"/>
      <c r="U93" s="104"/>
      <c r="V93" s="104"/>
      <c r="W93" s="104"/>
      <c r="X93" s="104"/>
      <c r="Y93" s="104"/>
      <c r="Z93" s="104"/>
      <c r="AA93" s="104"/>
    </row>
    <row r="94">
      <c r="A94" s="127">
        <f t="shared" si="1"/>
        <v>67</v>
      </c>
      <c r="B94" s="128">
        <v>46123.0</v>
      </c>
      <c r="C94" s="127" t="s">
        <v>631</v>
      </c>
      <c r="D94" s="127" t="s">
        <v>497</v>
      </c>
      <c r="E94" s="127" t="s">
        <v>489</v>
      </c>
      <c r="F94" s="127" t="s">
        <v>527</v>
      </c>
      <c r="G94" s="119"/>
      <c r="H94" s="104"/>
      <c r="I94" s="104"/>
      <c r="J94" s="104"/>
      <c r="K94" s="104"/>
      <c r="L94" s="104"/>
      <c r="M94" s="104"/>
      <c r="N94" s="104"/>
      <c r="O94" s="104"/>
      <c r="P94" s="104"/>
      <c r="Q94" s="104"/>
      <c r="R94" s="104"/>
      <c r="S94" s="104"/>
      <c r="T94" s="104"/>
      <c r="U94" s="104"/>
      <c r="V94" s="104"/>
      <c r="W94" s="104"/>
      <c r="X94" s="104"/>
      <c r="Y94" s="104"/>
      <c r="Z94" s="104"/>
      <c r="AA94" s="104"/>
    </row>
    <row r="95">
      <c r="A95" s="127">
        <f t="shared" si="1"/>
        <v>68</v>
      </c>
      <c r="B95" s="128">
        <v>46123.0</v>
      </c>
      <c r="C95" s="127" t="s">
        <v>632</v>
      </c>
      <c r="D95" s="127" t="s">
        <v>633</v>
      </c>
      <c r="E95" s="127" t="s">
        <v>489</v>
      </c>
      <c r="F95" s="127" t="s">
        <v>527</v>
      </c>
      <c r="G95" s="119"/>
      <c r="H95" s="104"/>
      <c r="I95" s="104"/>
      <c r="J95" s="104"/>
      <c r="K95" s="104"/>
      <c r="L95" s="104"/>
      <c r="M95" s="104"/>
      <c r="N95" s="104"/>
      <c r="O95" s="104"/>
      <c r="P95" s="104"/>
      <c r="Q95" s="104"/>
      <c r="R95" s="104"/>
      <c r="S95" s="104"/>
      <c r="T95" s="104"/>
      <c r="U95" s="104"/>
      <c r="V95" s="104"/>
      <c r="W95" s="104"/>
      <c r="X95" s="104"/>
      <c r="Y95" s="104"/>
      <c r="Z95" s="104"/>
      <c r="AA95" s="104"/>
    </row>
    <row r="96">
      <c r="A96" s="127">
        <f t="shared" si="1"/>
        <v>69</v>
      </c>
      <c r="B96" s="128">
        <v>46124.0</v>
      </c>
      <c r="C96" s="127" t="s">
        <v>634</v>
      </c>
      <c r="D96" s="127" t="s">
        <v>497</v>
      </c>
      <c r="E96" s="127" t="s">
        <v>489</v>
      </c>
      <c r="F96" s="127" t="s">
        <v>508</v>
      </c>
      <c r="G96" s="119"/>
      <c r="H96" s="104"/>
      <c r="I96" s="104"/>
      <c r="J96" s="104"/>
      <c r="K96" s="104"/>
      <c r="L96" s="104"/>
      <c r="M96" s="104"/>
      <c r="N96" s="104"/>
      <c r="O96" s="104"/>
      <c r="P96" s="104"/>
      <c r="Q96" s="104"/>
      <c r="R96" s="104"/>
      <c r="S96" s="104"/>
      <c r="T96" s="104"/>
      <c r="U96" s="104"/>
      <c r="V96" s="104"/>
      <c r="W96" s="104"/>
      <c r="X96" s="104"/>
      <c r="Y96" s="104"/>
      <c r="Z96" s="104"/>
      <c r="AA96" s="104"/>
    </row>
    <row r="97">
      <c r="A97" s="127">
        <f t="shared" si="1"/>
        <v>70</v>
      </c>
      <c r="B97" s="128">
        <v>46124.0</v>
      </c>
      <c r="C97" s="127" t="s">
        <v>635</v>
      </c>
      <c r="D97" s="127" t="s">
        <v>497</v>
      </c>
      <c r="E97" s="127" t="s">
        <v>489</v>
      </c>
      <c r="F97" s="127" t="s">
        <v>508</v>
      </c>
      <c r="G97" s="119"/>
      <c r="H97" s="104"/>
      <c r="I97" s="104"/>
      <c r="J97" s="104"/>
      <c r="K97" s="104"/>
      <c r="L97" s="104"/>
      <c r="M97" s="104"/>
      <c r="N97" s="104"/>
      <c r="O97" s="104"/>
      <c r="P97" s="104"/>
      <c r="Q97" s="104"/>
      <c r="R97" s="104"/>
      <c r="S97" s="104"/>
      <c r="T97" s="104"/>
      <c r="U97" s="104"/>
      <c r="V97" s="104"/>
      <c r="W97" s="104"/>
      <c r="X97" s="104"/>
      <c r="Y97" s="104"/>
      <c r="Z97" s="104"/>
      <c r="AA97" s="104"/>
    </row>
    <row r="98">
      <c r="A98" s="127">
        <f t="shared" si="1"/>
        <v>71</v>
      </c>
      <c r="B98" s="128">
        <v>46125.0</v>
      </c>
      <c r="C98" s="127" t="s">
        <v>636</v>
      </c>
      <c r="D98" s="127" t="s">
        <v>497</v>
      </c>
      <c r="E98" s="127" t="s">
        <v>489</v>
      </c>
      <c r="F98" s="127" t="s">
        <v>604</v>
      </c>
      <c r="G98" s="119"/>
      <c r="H98" s="104"/>
      <c r="I98" s="104"/>
      <c r="J98" s="104"/>
      <c r="K98" s="104"/>
      <c r="L98" s="104"/>
      <c r="M98" s="104"/>
      <c r="N98" s="104"/>
      <c r="O98" s="104"/>
      <c r="P98" s="104"/>
      <c r="Q98" s="104"/>
      <c r="R98" s="104"/>
      <c r="S98" s="104"/>
      <c r="T98" s="104"/>
      <c r="U98" s="104"/>
      <c r="V98" s="104"/>
      <c r="W98" s="104"/>
      <c r="X98" s="104"/>
      <c r="Y98" s="104"/>
      <c r="Z98" s="104"/>
      <c r="AA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row>
  </sheetData>
  <mergeCells count="57">
    <mergeCell ref="F54:F57"/>
    <mergeCell ref="F58:F59"/>
    <mergeCell ref="F35:F36"/>
    <mergeCell ref="F38:F39"/>
    <mergeCell ref="F40:F41"/>
    <mergeCell ref="F43:F44"/>
    <mergeCell ref="F45:F49"/>
    <mergeCell ref="F50:F51"/>
    <mergeCell ref="F52:F53"/>
    <mergeCell ref="A1:G1"/>
    <mergeCell ref="A8:A9"/>
    <mergeCell ref="B8:B9"/>
    <mergeCell ref="A12:A13"/>
    <mergeCell ref="B12:B13"/>
    <mergeCell ref="B15:B16"/>
    <mergeCell ref="F15:F16"/>
    <mergeCell ref="A15:A16"/>
    <mergeCell ref="A17:A18"/>
    <mergeCell ref="B17:B18"/>
    <mergeCell ref="A21:A22"/>
    <mergeCell ref="B21:B22"/>
    <mergeCell ref="A23:A25"/>
    <mergeCell ref="B23:B25"/>
    <mergeCell ref="F17:F19"/>
    <mergeCell ref="F21:F22"/>
    <mergeCell ref="F23:F25"/>
    <mergeCell ref="F26:F27"/>
    <mergeCell ref="F29:F30"/>
    <mergeCell ref="F31:F32"/>
    <mergeCell ref="F33:F34"/>
    <mergeCell ref="F64:F66"/>
    <mergeCell ref="A29:A30"/>
    <mergeCell ref="B29:B30"/>
    <mergeCell ref="A31:A32"/>
    <mergeCell ref="A33:A34"/>
    <mergeCell ref="B33:B34"/>
    <mergeCell ref="A35:A36"/>
    <mergeCell ref="B38:B39"/>
    <mergeCell ref="A54:A56"/>
    <mergeCell ref="A58:A59"/>
    <mergeCell ref="A64:A66"/>
    <mergeCell ref="A38:A39"/>
    <mergeCell ref="A40:A41"/>
    <mergeCell ref="A43:A44"/>
    <mergeCell ref="A45:A47"/>
    <mergeCell ref="A48:A49"/>
    <mergeCell ref="A50:A51"/>
    <mergeCell ref="A52:A53"/>
    <mergeCell ref="B58:B59"/>
    <mergeCell ref="B64:B66"/>
    <mergeCell ref="B40:B41"/>
    <mergeCell ref="B43:B44"/>
    <mergeCell ref="B45:B47"/>
    <mergeCell ref="B48:B49"/>
    <mergeCell ref="B50:B51"/>
    <mergeCell ref="B52:B53"/>
    <mergeCell ref="B54:B5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3.75"/>
    <col customWidth="1" min="3" max="3" width="16.75"/>
    <col customWidth="1" min="4" max="4" width="20.5"/>
    <col customWidth="1" min="5" max="5" width="24.25"/>
    <col customWidth="1" min="6" max="6" width="50.5"/>
    <col customWidth="1" min="7" max="8" width="20.5"/>
    <col customWidth="1" min="9" max="9" width="20.63"/>
  </cols>
  <sheetData>
    <row r="1">
      <c r="A1" s="188" t="s">
        <v>637</v>
      </c>
      <c r="B1" s="3"/>
      <c r="C1" s="3"/>
      <c r="D1" s="3"/>
      <c r="E1" s="3"/>
      <c r="F1" s="3"/>
      <c r="G1" s="3"/>
      <c r="H1" s="3"/>
      <c r="I1" s="4"/>
      <c r="J1" s="189"/>
      <c r="K1" s="189"/>
      <c r="L1" s="189"/>
      <c r="M1" s="189"/>
      <c r="N1" s="189"/>
      <c r="O1" s="189"/>
      <c r="P1" s="189"/>
      <c r="Q1" s="189"/>
      <c r="R1" s="189"/>
      <c r="S1" s="189"/>
      <c r="T1" s="189"/>
      <c r="U1" s="189"/>
      <c r="V1" s="189"/>
      <c r="W1" s="189"/>
      <c r="X1" s="189"/>
      <c r="Y1" s="189"/>
      <c r="Z1" s="189"/>
      <c r="AA1" s="189"/>
      <c r="AB1" s="189"/>
      <c r="AC1" s="189"/>
      <c r="AD1" s="189"/>
      <c r="AE1" s="189"/>
    </row>
    <row r="2">
      <c r="A2" s="190" t="s">
        <v>178</v>
      </c>
      <c r="B2" s="190" t="s">
        <v>638</v>
      </c>
      <c r="C2" s="191" t="s">
        <v>639</v>
      </c>
      <c r="D2" s="191" t="s">
        <v>640</v>
      </c>
      <c r="E2" s="190" t="s">
        <v>641</v>
      </c>
      <c r="F2" s="191" t="s">
        <v>181</v>
      </c>
      <c r="G2" s="191" t="s">
        <v>642</v>
      </c>
      <c r="H2" s="190" t="s">
        <v>643</v>
      </c>
      <c r="I2" s="190" t="s">
        <v>644</v>
      </c>
      <c r="J2" s="189"/>
      <c r="K2" s="189"/>
      <c r="L2" s="189"/>
      <c r="M2" s="189"/>
      <c r="N2" s="189"/>
      <c r="O2" s="189"/>
      <c r="P2" s="189"/>
      <c r="Q2" s="189"/>
      <c r="R2" s="189"/>
      <c r="S2" s="189"/>
      <c r="T2" s="189"/>
      <c r="U2" s="189"/>
      <c r="V2" s="189"/>
      <c r="W2" s="189"/>
      <c r="X2" s="189"/>
      <c r="Y2" s="189"/>
      <c r="Z2" s="189"/>
      <c r="AA2" s="189"/>
      <c r="AB2" s="189"/>
      <c r="AC2" s="189"/>
      <c r="AD2" s="189"/>
      <c r="AE2" s="189"/>
    </row>
    <row r="3">
      <c r="A3" s="192">
        <v>1.0</v>
      </c>
      <c r="B3" s="192" t="s">
        <v>645</v>
      </c>
      <c r="C3" s="193">
        <v>45976.0</v>
      </c>
      <c r="D3" s="192" t="s">
        <v>646</v>
      </c>
      <c r="E3" s="192" t="s">
        <v>647</v>
      </c>
      <c r="F3" s="192" t="s">
        <v>648</v>
      </c>
      <c r="G3" s="192" t="s">
        <v>508</v>
      </c>
      <c r="H3" s="192">
        <v>0.0</v>
      </c>
      <c r="I3" s="192">
        <v>1.0</v>
      </c>
      <c r="J3" s="194"/>
      <c r="K3" s="194"/>
      <c r="L3" s="194"/>
      <c r="M3" s="194"/>
      <c r="N3" s="194"/>
      <c r="O3" s="194"/>
      <c r="P3" s="194"/>
      <c r="Q3" s="194"/>
      <c r="R3" s="194"/>
      <c r="S3" s="194"/>
      <c r="T3" s="194"/>
      <c r="U3" s="194"/>
      <c r="V3" s="194"/>
      <c r="W3" s="194"/>
      <c r="X3" s="194"/>
      <c r="Y3" s="194"/>
      <c r="Z3" s="194"/>
      <c r="AA3" s="194"/>
      <c r="AB3" s="194"/>
      <c r="AC3" s="194"/>
      <c r="AD3" s="194"/>
      <c r="AE3" s="194"/>
    </row>
    <row r="4">
      <c r="A4" s="195">
        <v>2.0</v>
      </c>
      <c r="B4" s="192" t="s">
        <v>645</v>
      </c>
      <c r="C4" s="193">
        <v>46003.0</v>
      </c>
      <c r="D4" s="196"/>
      <c r="E4" s="196"/>
      <c r="F4" s="192" t="s">
        <v>649</v>
      </c>
      <c r="G4" s="192" t="s">
        <v>506</v>
      </c>
      <c r="H4" s="192">
        <v>0.0</v>
      </c>
      <c r="I4" s="192">
        <v>1.0</v>
      </c>
      <c r="J4" s="194"/>
      <c r="K4" s="194"/>
      <c r="L4" s="194"/>
      <c r="M4" s="194"/>
      <c r="N4" s="194"/>
      <c r="O4" s="194"/>
      <c r="P4" s="194"/>
      <c r="Q4" s="194"/>
      <c r="R4" s="194"/>
      <c r="S4" s="194"/>
      <c r="T4" s="194"/>
      <c r="U4" s="194"/>
      <c r="V4" s="194"/>
      <c r="W4" s="194"/>
      <c r="X4" s="194"/>
      <c r="Y4" s="194"/>
      <c r="Z4" s="194"/>
      <c r="AA4" s="194"/>
      <c r="AB4" s="194"/>
      <c r="AC4" s="194"/>
      <c r="AD4" s="194"/>
      <c r="AE4" s="194"/>
    </row>
    <row r="5">
      <c r="A5" s="195">
        <v>3.0</v>
      </c>
      <c r="B5" s="192" t="s">
        <v>650</v>
      </c>
      <c r="C5" s="193">
        <v>46016.0</v>
      </c>
      <c r="D5" s="192" t="s">
        <v>651</v>
      </c>
      <c r="E5" s="192" t="s">
        <v>652</v>
      </c>
      <c r="F5" s="192" t="s">
        <v>653</v>
      </c>
      <c r="G5" s="192" t="s">
        <v>538</v>
      </c>
      <c r="H5" s="192">
        <v>0.0</v>
      </c>
      <c r="I5" s="192">
        <v>1.0</v>
      </c>
      <c r="J5" s="194"/>
      <c r="K5" s="194"/>
      <c r="L5" s="194"/>
      <c r="M5" s="194"/>
      <c r="N5" s="194"/>
      <c r="O5" s="194"/>
      <c r="P5" s="194"/>
      <c r="Q5" s="194"/>
      <c r="R5" s="194"/>
      <c r="S5" s="194"/>
      <c r="T5" s="194"/>
      <c r="U5" s="194"/>
      <c r="V5" s="194"/>
      <c r="W5" s="194"/>
      <c r="X5" s="194"/>
      <c r="Y5" s="194"/>
      <c r="Z5" s="194"/>
      <c r="AA5" s="194"/>
      <c r="AB5" s="194"/>
      <c r="AC5" s="194"/>
      <c r="AD5" s="194"/>
      <c r="AE5" s="194"/>
    </row>
    <row r="6">
      <c r="A6" s="192">
        <v>4.0</v>
      </c>
      <c r="B6" s="192" t="s">
        <v>654</v>
      </c>
      <c r="C6" s="197">
        <v>45665.0</v>
      </c>
      <c r="D6" s="196"/>
      <c r="E6" s="192" t="s">
        <v>655</v>
      </c>
      <c r="F6" s="192" t="s">
        <v>656</v>
      </c>
      <c r="G6" s="192" t="s">
        <v>508</v>
      </c>
      <c r="H6" s="192">
        <v>1.0</v>
      </c>
      <c r="I6" s="192">
        <v>0.0</v>
      </c>
      <c r="J6" s="194"/>
      <c r="K6" s="194"/>
      <c r="L6" s="194"/>
      <c r="M6" s="194"/>
      <c r="N6" s="194"/>
      <c r="O6" s="194"/>
      <c r="P6" s="194"/>
      <c r="Q6" s="194"/>
      <c r="R6" s="194"/>
      <c r="S6" s="194"/>
      <c r="T6" s="194"/>
      <c r="U6" s="194"/>
      <c r="V6" s="194"/>
      <c r="W6" s="194"/>
      <c r="X6" s="194"/>
      <c r="Y6" s="194"/>
      <c r="Z6" s="194"/>
      <c r="AA6" s="194"/>
      <c r="AB6" s="194"/>
      <c r="AC6" s="194"/>
      <c r="AD6" s="194"/>
      <c r="AE6" s="194"/>
    </row>
    <row r="7">
      <c r="A7" s="192">
        <v>5.0</v>
      </c>
      <c r="B7" s="192" t="s">
        <v>657</v>
      </c>
      <c r="C7" s="197">
        <v>46042.0</v>
      </c>
      <c r="D7" s="192" t="s">
        <v>658</v>
      </c>
      <c r="E7" s="196"/>
      <c r="F7" s="192" t="s">
        <v>659</v>
      </c>
      <c r="G7" s="192" t="s">
        <v>475</v>
      </c>
      <c r="H7" s="192">
        <v>0.0</v>
      </c>
      <c r="I7" s="192">
        <v>1.0</v>
      </c>
      <c r="J7" s="194"/>
      <c r="K7" s="194"/>
      <c r="L7" s="194"/>
      <c r="M7" s="194"/>
      <c r="N7" s="194"/>
      <c r="O7" s="194"/>
      <c r="P7" s="194"/>
      <c r="Q7" s="194"/>
      <c r="R7" s="194"/>
      <c r="S7" s="194"/>
      <c r="T7" s="194"/>
      <c r="U7" s="194"/>
      <c r="V7" s="194"/>
      <c r="W7" s="194"/>
      <c r="X7" s="194"/>
      <c r="Y7" s="194"/>
      <c r="Z7" s="194"/>
      <c r="AA7" s="194"/>
      <c r="AB7" s="194"/>
      <c r="AC7" s="194"/>
      <c r="AD7" s="194"/>
      <c r="AE7" s="194"/>
    </row>
    <row r="8">
      <c r="A8" s="195">
        <v>6.0</v>
      </c>
      <c r="B8" s="192" t="s">
        <v>654</v>
      </c>
      <c r="C8" s="197">
        <v>46083.0</v>
      </c>
      <c r="D8" s="192" t="s">
        <v>660</v>
      </c>
      <c r="E8" s="192" t="s">
        <v>661</v>
      </c>
      <c r="F8" s="192" t="s">
        <v>656</v>
      </c>
      <c r="G8" s="192" t="s">
        <v>512</v>
      </c>
      <c r="H8" s="192">
        <v>1.0</v>
      </c>
      <c r="I8" s="192">
        <v>0.0</v>
      </c>
      <c r="J8" s="194"/>
      <c r="K8" s="194"/>
      <c r="L8" s="194"/>
      <c r="M8" s="194"/>
      <c r="N8" s="194"/>
      <c r="O8" s="194"/>
      <c r="P8" s="194"/>
      <c r="Q8" s="194"/>
      <c r="R8" s="194"/>
      <c r="S8" s="194"/>
      <c r="T8" s="194"/>
      <c r="U8" s="194"/>
      <c r="V8" s="194"/>
      <c r="W8" s="194"/>
      <c r="X8" s="194"/>
      <c r="Y8" s="194"/>
      <c r="Z8" s="194"/>
      <c r="AA8" s="194"/>
      <c r="AB8" s="194"/>
      <c r="AC8" s="194"/>
      <c r="AD8" s="194"/>
      <c r="AE8" s="194"/>
    </row>
    <row r="9">
      <c r="A9" s="192">
        <v>7.0</v>
      </c>
      <c r="B9" s="192" t="s">
        <v>662</v>
      </c>
      <c r="C9" s="197">
        <v>46084.0</v>
      </c>
      <c r="D9" s="192" t="s">
        <v>534</v>
      </c>
      <c r="E9" s="192" t="s">
        <v>663</v>
      </c>
      <c r="F9" s="192" t="s">
        <v>656</v>
      </c>
      <c r="G9" s="192" t="s">
        <v>508</v>
      </c>
      <c r="H9" s="192">
        <v>0.0</v>
      </c>
      <c r="I9" s="192">
        <v>1.0</v>
      </c>
      <c r="J9" s="194"/>
      <c r="K9" s="194"/>
      <c r="L9" s="194"/>
      <c r="M9" s="194"/>
      <c r="N9" s="194"/>
      <c r="O9" s="194"/>
      <c r="P9" s="194"/>
      <c r="Q9" s="194"/>
      <c r="R9" s="194"/>
      <c r="S9" s="194"/>
      <c r="T9" s="194"/>
      <c r="U9" s="194"/>
      <c r="V9" s="194"/>
      <c r="W9" s="194"/>
      <c r="X9" s="194"/>
      <c r="Y9" s="194"/>
      <c r="Z9" s="194"/>
      <c r="AA9" s="194"/>
      <c r="AB9" s="194"/>
      <c r="AC9" s="194"/>
      <c r="AD9" s="194"/>
      <c r="AE9" s="194"/>
    </row>
    <row r="10">
      <c r="A10" s="192">
        <v>8.0</v>
      </c>
      <c r="B10" s="192" t="s">
        <v>664</v>
      </c>
      <c r="C10" s="197">
        <v>46101.0</v>
      </c>
      <c r="D10" s="192" t="s">
        <v>665</v>
      </c>
      <c r="E10" s="192" t="s">
        <v>661</v>
      </c>
      <c r="F10" s="192" t="s">
        <v>666</v>
      </c>
      <c r="G10" s="192" t="s">
        <v>475</v>
      </c>
      <c r="H10" s="192">
        <v>0.0</v>
      </c>
      <c r="I10" s="192">
        <v>0.0</v>
      </c>
      <c r="J10" s="194"/>
      <c r="K10" s="194"/>
      <c r="L10" s="194"/>
      <c r="M10" s="194"/>
      <c r="N10" s="194"/>
      <c r="O10" s="194"/>
      <c r="P10" s="194"/>
      <c r="Q10" s="194"/>
      <c r="R10" s="194"/>
      <c r="S10" s="194"/>
      <c r="T10" s="194"/>
      <c r="U10" s="194"/>
      <c r="V10" s="194"/>
      <c r="W10" s="194"/>
      <c r="X10" s="194"/>
      <c r="Y10" s="194"/>
      <c r="Z10" s="194"/>
      <c r="AA10" s="194"/>
      <c r="AB10" s="194"/>
      <c r="AC10" s="194"/>
      <c r="AD10" s="194"/>
      <c r="AE10" s="194"/>
    </row>
    <row r="11">
      <c r="A11" s="192">
        <v>9.0</v>
      </c>
      <c r="B11" s="192" t="s">
        <v>664</v>
      </c>
      <c r="C11" s="197">
        <v>46121.0</v>
      </c>
      <c r="D11" s="192" t="s">
        <v>667</v>
      </c>
      <c r="E11" s="192" t="s">
        <v>668</v>
      </c>
      <c r="F11" s="192" t="s">
        <v>669</v>
      </c>
      <c r="G11" s="192" t="s">
        <v>506</v>
      </c>
      <c r="H11" s="192">
        <v>0.0</v>
      </c>
      <c r="I11" s="192">
        <v>1.0</v>
      </c>
      <c r="J11" s="194"/>
      <c r="K11" s="194"/>
      <c r="L11" s="194"/>
      <c r="M11" s="194"/>
      <c r="N11" s="194"/>
      <c r="O11" s="194"/>
      <c r="P11" s="194"/>
      <c r="Q11" s="194"/>
      <c r="R11" s="194"/>
      <c r="S11" s="194"/>
      <c r="T11" s="194"/>
      <c r="U11" s="194"/>
      <c r="V11" s="194"/>
      <c r="W11" s="194"/>
      <c r="X11" s="194"/>
      <c r="Y11" s="194"/>
      <c r="Z11" s="194"/>
      <c r="AA11" s="194"/>
      <c r="AB11" s="194"/>
      <c r="AC11" s="194"/>
      <c r="AD11" s="194"/>
      <c r="AE11" s="194"/>
    </row>
    <row r="12">
      <c r="A12" s="194"/>
      <c r="B12" s="194"/>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row>
    <row r="13">
      <c r="A13" s="194"/>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row>
    <row r="14">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row>
    <row r="15">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row>
    <row r="16">
      <c r="A16" s="194"/>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row>
    <row r="17">
      <c r="A17" s="194"/>
      <c r="B17" s="194"/>
      <c r="C17" s="194"/>
      <c r="D17" s="194"/>
      <c r="E17" s="194"/>
      <c r="F17" s="194"/>
      <c r="G17" s="194"/>
      <c r="H17" s="194"/>
      <c r="I17" s="194"/>
      <c r="J17" s="194"/>
      <c r="K17" s="194"/>
      <c r="L17" s="194"/>
      <c r="M17" s="194"/>
      <c r="N17" s="194"/>
      <c r="O17" s="194"/>
      <c r="P17" s="194"/>
      <c r="Q17" s="194"/>
      <c r="R17" s="194"/>
      <c r="S17" s="194"/>
      <c r="T17" s="194"/>
      <c r="U17" s="194"/>
      <c r="V17" s="194"/>
      <c r="W17" s="194"/>
      <c r="X17" s="194"/>
      <c r="Y17" s="194"/>
      <c r="Z17" s="194"/>
      <c r="AA17" s="194"/>
      <c r="AB17" s="194"/>
      <c r="AC17" s="194"/>
      <c r="AD17" s="194"/>
      <c r="AE17" s="194"/>
    </row>
    <row r="18">
      <c r="A18" s="194"/>
      <c r="B18" s="194"/>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row>
    <row r="19">
      <c r="A19" s="194"/>
      <c r="B19" s="19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row>
    <row r="20">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row>
    <row r="21">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row>
    <row r="22">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row>
    <row r="23">
      <c r="A23" s="194"/>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c r="AC23" s="194"/>
      <c r="AD23" s="194"/>
      <c r="AE23" s="194"/>
    </row>
    <row r="24">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row>
    <row r="2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row>
    <row r="26">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row>
    <row r="27">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row>
    <row r="28">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row>
    <row r="29">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row>
    <row r="30">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row>
    <row r="3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row>
    <row r="32">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row>
    <row r="34">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row>
    <row r="35">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row>
    <row r="36">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row>
    <row r="93">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c r="AA93" s="194"/>
      <c r="AB93" s="194"/>
      <c r="AC93" s="194"/>
      <c r="AD93" s="194"/>
      <c r="AE93" s="194"/>
    </row>
    <row r="94">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c r="AA94" s="194"/>
      <c r="AB94" s="194"/>
      <c r="AC94" s="194"/>
      <c r="AD94" s="194"/>
      <c r="AE94" s="194"/>
    </row>
    <row r="9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4"/>
      <c r="AD95" s="194"/>
      <c r="AE95" s="194"/>
    </row>
    <row r="96">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row>
    <row r="97">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row>
    <row r="98">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row>
    <row r="99">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row>
    <row r="100">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row>
    <row r="10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row>
    <row r="102">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row>
    <row r="103">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c r="AC103" s="194"/>
      <c r="AD103" s="194"/>
      <c r="AE103" s="194"/>
    </row>
    <row r="104">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row>
    <row r="105">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c r="AD105" s="194"/>
      <c r="AE105" s="194"/>
    </row>
    <row r="106">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row>
    <row r="107">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c r="AA107" s="194"/>
      <c r="AB107" s="194"/>
      <c r="AC107" s="194"/>
      <c r="AD107" s="194"/>
      <c r="AE107" s="194"/>
    </row>
    <row r="108">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row>
    <row r="109">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c r="AA109" s="194"/>
      <c r="AB109" s="194"/>
      <c r="AC109" s="194"/>
      <c r="AD109" s="194"/>
      <c r="AE109" s="194"/>
    </row>
    <row r="110">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c r="AA110" s="194"/>
      <c r="AB110" s="194"/>
      <c r="AC110" s="194"/>
      <c r="AD110" s="194"/>
      <c r="AE110" s="194"/>
    </row>
    <row r="111">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c r="AC111" s="194"/>
      <c r="AD111" s="194"/>
      <c r="AE111" s="194"/>
    </row>
    <row r="112">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row>
    <row r="113">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row>
    <row r="114">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row>
    <row r="115">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row>
    <row r="116">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row>
    <row r="117">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row>
    <row r="118">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c r="AC118" s="194"/>
      <c r="AD118" s="194"/>
      <c r="AE118" s="194"/>
    </row>
    <row r="119">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row>
    <row r="120">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row>
    <row r="121">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row>
    <row r="122">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row>
    <row r="123">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c r="AC123" s="194"/>
      <c r="AD123" s="194"/>
      <c r="AE123" s="194"/>
    </row>
    <row r="124">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row>
    <row r="125">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row>
    <row r="126">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row>
    <row r="127">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row>
    <row r="128">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194"/>
    </row>
    <row r="129">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row>
    <row r="130">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row>
    <row r="131">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row>
    <row r="132">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c r="AC132" s="194"/>
      <c r="AD132" s="194"/>
      <c r="AE132" s="194"/>
    </row>
    <row r="133">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c r="AC133" s="194"/>
      <c r="AD133" s="194"/>
      <c r="AE133" s="194"/>
    </row>
    <row r="134">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row>
    <row r="135">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row>
    <row r="136">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row>
    <row r="137">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row>
    <row r="138">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row>
    <row r="139">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row>
    <row r="140">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row>
    <row r="141">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row>
    <row r="142">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4"/>
      <c r="AE142" s="194"/>
    </row>
    <row r="143">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row>
    <row r="144">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row>
    <row r="145">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c r="AC145" s="194"/>
      <c r="AD145" s="194"/>
      <c r="AE145" s="194"/>
    </row>
    <row r="146">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row>
    <row r="147">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c r="AC147" s="194"/>
      <c r="AD147" s="194"/>
      <c r="AE147" s="194"/>
    </row>
    <row r="148">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row>
    <row r="149">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row>
    <row r="150">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row>
    <row r="151">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row>
    <row r="152">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4"/>
      <c r="AE152" s="194"/>
    </row>
    <row r="153">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row>
    <row r="154">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row>
    <row r="155">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row>
    <row r="156">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row>
    <row r="157">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row>
    <row r="158">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row>
    <row r="159">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row>
    <row r="160">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row>
    <row r="161">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row>
    <row r="162">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row>
    <row r="163">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row>
    <row r="164">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row>
    <row r="165">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row>
    <row r="166">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row>
    <row r="167">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c r="AC167" s="194"/>
      <c r="AD167" s="194"/>
      <c r="AE167" s="194"/>
    </row>
    <row r="168">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row>
    <row r="169">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row>
    <row r="170">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row>
    <row r="171">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row>
    <row r="172">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row>
    <row r="173">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row>
    <row r="174">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row>
    <row r="175">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row>
    <row r="176">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row>
    <row r="177">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row>
    <row r="178">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row>
    <row r="179">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row>
    <row r="180">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row>
    <row r="181">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row>
    <row r="182">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row>
    <row r="183">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row>
    <row r="184">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row>
    <row r="185">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row>
    <row r="186">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row>
    <row r="187">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row>
    <row r="188">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c r="AC188" s="194"/>
      <c r="AD188" s="194"/>
      <c r="AE188" s="194"/>
    </row>
    <row r="189">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row>
    <row r="190">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c r="AC190" s="194"/>
      <c r="AD190" s="194"/>
      <c r="AE190" s="194"/>
    </row>
    <row r="191">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c r="AC191" s="194"/>
      <c r="AD191" s="194"/>
      <c r="AE191" s="194"/>
    </row>
    <row r="192">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row>
    <row r="193">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row>
    <row r="194">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row>
    <row r="195">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row>
    <row r="196">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row>
    <row r="197">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row>
    <row r="198">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c r="AC198" s="194"/>
      <c r="AD198" s="194"/>
      <c r="AE198" s="194"/>
    </row>
    <row r="199">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row>
    <row r="200">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c r="AC200" s="194"/>
      <c r="AD200" s="194"/>
      <c r="AE200" s="194"/>
    </row>
    <row r="201">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row>
    <row r="202">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row>
    <row r="203">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row>
    <row r="204">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row>
    <row r="205">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row>
    <row r="206">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row>
    <row r="207">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row>
    <row r="208">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row>
    <row r="209">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c r="AC209" s="194"/>
      <c r="AD209" s="194"/>
      <c r="AE209" s="194"/>
    </row>
    <row r="210">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c r="AC210" s="194"/>
      <c r="AD210" s="194"/>
      <c r="AE210" s="194"/>
    </row>
    <row r="211">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c r="AC211" s="194"/>
      <c r="AD211" s="194"/>
      <c r="AE211" s="194"/>
    </row>
    <row r="212">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c r="AC212" s="194"/>
      <c r="AD212" s="194"/>
      <c r="AE212" s="194"/>
    </row>
    <row r="213">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c r="AC213" s="194"/>
      <c r="AD213" s="194"/>
      <c r="AE213" s="194"/>
    </row>
    <row r="214">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row>
    <row r="215">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row>
    <row r="216">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row>
    <row r="217">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row>
    <row r="218">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row>
    <row r="219">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row>
    <row r="220">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row>
    <row r="221">
      <c r="A221" s="194"/>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row>
    <row r="222">
      <c r="A222" s="194"/>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row>
    <row r="223">
      <c r="A223" s="194"/>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c r="AC223" s="194"/>
      <c r="AD223" s="194"/>
      <c r="AE223" s="194"/>
    </row>
    <row r="224">
      <c r="A224" s="194"/>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c r="AC224" s="194"/>
      <c r="AD224" s="194"/>
      <c r="AE224" s="194"/>
    </row>
    <row r="225">
      <c r="A225" s="194"/>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row>
    <row r="226">
      <c r="A226" s="194"/>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c r="AC226" s="194"/>
      <c r="AD226" s="194"/>
      <c r="AE226" s="194"/>
    </row>
    <row r="227">
      <c r="A227" s="194"/>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c r="AC227" s="194"/>
      <c r="AD227" s="194"/>
      <c r="AE227" s="194"/>
    </row>
    <row r="228">
      <c r="A228" s="194"/>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c r="AC228" s="194"/>
      <c r="AD228" s="194"/>
      <c r="AE228" s="194"/>
    </row>
    <row r="229">
      <c r="A229" s="194"/>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c r="AC229" s="194"/>
      <c r="AD229" s="194"/>
      <c r="AE229" s="194"/>
    </row>
    <row r="230">
      <c r="A230" s="194"/>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row>
    <row r="231">
      <c r="A231" s="194"/>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row>
    <row r="232">
      <c r="A232" s="194"/>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row>
    <row r="233">
      <c r="A233" s="194"/>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row>
    <row r="234">
      <c r="A234" s="194"/>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row>
    <row r="235">
      <c r="A235" s="194"/>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row>
    <row r="236">
      <c r="A236" s="194"/>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row>
    <row r="237">
      <c r="A237" s="194"/>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c r="AC237" s="194"/>
      <c r="AD237" s="194"/>
      <c r="AE237" s="194"/>
    </row>
    <row r="238">
      <c r="A238" s="194"/>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c r="AA238" s="194"/>
      <c r="AB238" s="194"/>
      <c r="AC238" s="194"/>
      <c r="AD238" s="194"/>
      <c r="AE238" s="194"/>
    </row>
    <row r="239">
      <c r="A239" s="194"/>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c r="AA239" s="194"/>
      <c r="AB239" s="194"/>
      <c r="AC239" s="194"/>
      <c r="AD239" s="194"/>
      <c r="AE239" s="194"/>
    </row>
    <row r="240">
      <c r="A240" s="194"/>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c r="AC240" s="194"/>
      <c r="AD240" s="194"/>
      <c r="AE240" s="194"/>
    </row>
    <row r="241">
      <c r="A241" s="194"/>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c r="AC241" s="194"/>
      <c r="AD241" s="194"/>
      <c r="AE241" s="194"/>
    </row>
    <row r="242">
      <c r="A242" s="194"/>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row>
    <row r="243">
      <c r="A243" s="194"/>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row>
    <row r="244">
      <c r="A244" s="194"/>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c r="AC244" s="194"/>
      <c r="AD244" s="194"/>
      <c r="AE244" s="194"/>
    </row>
    <row r="245">
      <c r="A245" s="194"/>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row>
    <row r="246">
      <c r="A246" s="194"/>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c r="AC246" s="194"/>
      <c r="AD246" s="194"/>
      <c r="AE246" s="194"/>
    </row>
    <row r="247">
      <c r="A247" s="194"/>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c r="AC247" s="194"/>
      <c r="AD247" s="194"/>
      <c r="AE247" s="194"/>
    </row>
    <row r="248">
      <c r="A248" s="194"/>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c r="AC248" s="194"/>
      <c r="AD248" s="194"/>
      <c r="AE248" s="194"/>
    </row>
    <row r="249">
      <c r="A249" s="194"/>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c r="AC249" s="194"/>
      <c r="AD249" s="194"/>
      <c r="AE249" s="194"/>
    </row>
    <row r="250">
      <c r="A250" s="194"/>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c r="AC250" s="194"/>
      <c r="AD250" s="194"/>
      <c r="AE250" s="194"/>
    </row>
    <row r="251">
      <c r="A251" s="194"/>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c r="AC251" s="194"/>
      <c r="AD251" s="194"/>
      <c r="AE251" s="194"/>
    </row>
    <row r="252">
      <c r="A252" s="194"/>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row>
    <row r="253">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c r="AC253" s="194"/>
      <c r="AD253" s="194"/>
      <c r="AE253" s="194"/>
    </row>
    <row r="254">
      <c r="A254" s="194"/>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c r="AC254" s="194"/>
      <c r="AD254" s="194"/>
      <c r="AE254" s="194"/>
    </row>
    <row r="25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c r="AC255" s="194"/>
      <c r="AD255" s="194"/>
      <c r="AE255" s="194"/>
    </row>
    <row r="256">
      <c r="A256" s="194"/>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c r="AC256" s="194"/>
      <c r="AD256" s="194"/>
      <c r="AE256" s="194"/>
    </row>
    <row r="257">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c r="AC257" s="194"/>
      <c r="AD257" s="194"/>
      <c r="AE257" s="194"/>
    </row>
    <row r="258">
      <c r="A258" s="194"/>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c r="AC258" s="194"/>
      <c r="AD258" s="194"/>
      <c r="AE258" s="194"/>
    </row>
    <row r="259">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c r="AC259" s="194"/>
      <c r="AD259" s="194"/>
      <c r="AE259" s="194"/>
    </row>
    <row r="260">
      <c r="A260" s="194"/>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row>
    <row r="261">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c r="AC261" s="194"/>
      <c r="AD261" s="194"/>
      <c r="AE261" s="194"/>
    </row>
    <row r="262">
      <c r="A262" s="194"/>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c r="AC262" s="194"/>
      <c r="AD262" s="194"/>
      <c r="AE262" s="194"/>
    </row>
    <row r="263">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row>
    <row r="264">
      <c r="A264" s="194"/>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c r="AA264" s="194"/>
      <c r="AB264" s="194"/>
      <c r="AC264" s="194"/>
      <c r="AD264" s="194"/>
      <c r="AE264" s="194"/>
    </row>
    <row r="26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c r="AC265" s="194"/>
      <c r="AD265" s="194"/>
      <c r="AE265" s="194"/>
    </row>
    <row r="266">
      <c r="A266" s="194"/>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c r="AA266" s="194"/>
      <c r="AB266" s="194"/>
      <c r="AC266" s="194"/>
      <c r="AD266" s="194"/>
      <c r="AE266" s="194"/>
    </row>
    <row r="267">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c r="AC267" s="194"/>
      <c r="AD267" s="194"/>
      <c r="AE267" s="194"/>
    </row>
    <row r="268">
      <c r="A268" s="194"/>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c r="AC268" s="194"/>
      <c r="AD268" s="194"/>
      <c r="AE268" s="194"/>
    </row>
    <row r="269">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row>
    <row r="270">
      <c r="A270" s="194"/>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row>
    <row r="271">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row>
    <row r="272">
      <c r="A272" s="194"/>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row>
    <row r="273">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row>
    <row r="274">
      <c r="A274" s="194"/>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row>
    <row r="27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row>
    <row r="276">
      <c r="A276" s="194"/>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c r="AA276" s="194"/>
      <c r="AB276" s="194"/>
      <c r="AC276" s="194"/>
      <c r="AD276" s="194"/>
      <c r="AE276" s="194"/>
    </row>
    <row r="277">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c r="AC277" s="194"/>
      <c r="AD277" s="194"/>
      <c r="AE277" s="194"/>
    </row>
    <row r="278">
      <c r="A278" s="194"/>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c r="AC278" s="194"/>
      <c r="AD278" s="194"/>
      <c r="AE278" s="194"/>
    </row>
    <row r="279">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c r="AC279" s="194"/>
      <c r="AD279" s="194"/>
      <c r="AE279" s="194"/>
    </row>
    <row r="280">
      <c r="A280" s="194"/>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c r="AA280" s="194"/>
      <c r="AB280" s="194"/>
      <c r="AC280" s="194"/>
      <c r="AD280" s="194"/>
      <c r="AE280" s="194"/>
    </row>
    <row r="281">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c r="AC281" s="194"/>
      <c r="AD281" s="194"/>
      <c r="AE281" s="194"/>
    </row>
    <row r="282">
      <c r="A282" s="194"/>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c r="AA282" s="194"/>
      <c r="AB282" s="194"/>
      <c r="AC282" s="194"/>
      <c r="AD282" s="194"/>
      <c r="AE282" s="194"/>
    </row>
    <row r="283">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c r="AC283" s="194"/>
      <c r="AD283" s="194"/>
      <c r="AE283" s="194"/>
    </row>
    <row r="284">
      <c r="A284" s="194"/>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c r="AA284" s="194"/>
      <c r="AB284" s="194"/>
      <c r="AC284" s="194"/>
      <c r="AD284" s="194"/>
      <c r="AE284" s="194"/>
    </row>
    <row r="28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c r="AC285" s="194"/>
      <c r="AD285" s="194"/>
      <c r="AE285" s="194"/>
    </row>
    <row r="286">
      <c r="A286" s="194"/>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c r="AA286" s="194"/>
      <c r="AB286" s="194"/>
      <c r="AC286" s="194"/>
      <c r="AD286" s="194"/>
      <c r="AE286" s="194"/>
    </row>
    <row r="287">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c r="AC287" s="194"/>
      <c r="AD287" s="194"/>
      <c r="AE287" s="194"/>
    </row>
    <row r="288">
      <c r="A288" s="194"/>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c r="AA288" s="194"/>
      <c r="AB288" s="194"/>
      <c r="AC288" s="194"/>
      <c r="AD288" s="194"/>
      <c r="AE288" s="194"/>
    </row>
    <row r="289">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c r="AC289" s="194"/>
      <c r="AD289" s="194"/>
      <c r="AE289" s="194"/>
    </row>
    <row r="290">
      <c r="A290" s="194"/>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c r="AA290" s="194"/>
      <c r="AB290" s="194"/>
      <c r="AC290" s="194"/>
      <c r="AD290" s="194"/>
      <c r="AE290" s="194"/>
    </row>
    <row r="291">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c r="AC291" s="194"/>
      <c r="AD291" s="194"/>
      <c r="AE291" s="194"/>
    </row>
    <row r="292">
      <c r="A292" s="194"/>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row>
    <row r="293">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c r="AC293" s="194"/>
      <c r="AD293" s="194"/>
      <c r="AE293" s="194"/>
    </row>
    <row r="294">
      <c r="A294" s="194"/>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c r="AA294" s="194"/>
      <c r="AB294" s="194"/>
      <c r="AC294" s="194"/>
      <c r="AD294" s="194"/>
      <c r="AE294" s="194"/>
    </row>
    <row r="29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c r="AC295" s="194"/>
      <c r="AD295" s="194"/>
      <c r="AE295" s="194"/>
    </row>
    <row r="296">
      <c r="A296" s="194"/>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c r="AA296" s="194"/>
      <c r="AB296" s="194"/>
      <c r="AC296" s="194"/>
      <c r="AD296" s="194"/>
      <c r="AE296" s="194"/>
    </row>
    <row r="297">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c r="AC297" s="194"/>
      <c r="AD297" s="194"/>
      <c r="AE297" s="194"/>
    </row>
    <row r="298">
      <c r="A298" s="194"/>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c r="AA298" s="194"/>
      <c r="AB298" s="194"/>
      <c r="AC298" s="194"/>
      <c r="AD298" s="194"/>
      <c r="AE298" s="194"/>
    </row>
    <row r="299">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c r="AC299" s="194"/>
      <c r="AD299" s="194"/>
      <c r="AE299" s="194"/>
    </row>
    <row r="300">
      <c r="A300" s="194"/>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c r="AA300" s="194"/>
      <c r="AB300" s="194"/>
      <c r="AC300" s="194"/>
      <c r="AD300" s="194"/>
      <c r="AE300" s="194"/>
    </row>
    <row r="301">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c r="AC301" s="194"/>
      <c r="AD301" s="194"/>
      <c r="AE301" s="194"/>
    </row>
    <row r="302">
      <c r="A302" s="194"/>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c r="AA302" s="194"/>
      <c r="AB302" s="194"/>
      <c r="AC302" s="194"/>
      <c r="AD302" s="194"/>
      <c r="AE302" s="194"/>
    </row>
    <row r="303">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c r="AC303" s="194"/>
      <c r="AD303" s="194"/>
      <c r="AE303" s="194"/>
    </row>
    <row r="304">
      <c r="A304" s="194"/>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c r="AA304" s="194"/>
      <c r="AB304" s="194"/>
      <c r="AC304" s="194"/>
      <c r="AD304" s="194"/>
      <c r="AE304" s="194"/>
    </row>
    <row r="30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c r="AC305" s="194"/>
      <c r="AD305" s="194"/>
      <c r="AE305" s="194"/>
    </row>
    <row r="306">
      <c r="A306" s="194"/>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c r="AA306" s="194"/>
      <c r="AB306" s="194"/>
      <c r="AC306" s="194"/>
      <c r="AD306" s="194"/>
      <c r="AE306" s="194"/>
    </row>
    <row r="307">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c r="AC307" s="194"/>
      <c r="AD307" s="194"/>
      <c r="AE307" s="194"/>
    </row>
    <row r="308">
      <c r="A308" s="194"/>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c r="AA308" s="194"/>
      <c r="AB308" s="194"/>
      <c r="AC308" s="194"/>
      <c r="AD308" s="194"/>
      <c r="AE308" s="194"/>
    </row>
    <row r="309">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c r="AC309" s="194"/>
      <c r="AD309" s="194"/>
      <c r="AE309" s="194"/>
    </row>
    <row r="310">
      <c r="A310" s="194"/>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c r="AA310" s="194"/>
      <c r="AB310" s="194"/>
      <c r="AC310" s="194"/>
      <c r="AD310" s="194"/>
      <c r="AE310" s="194"/>
    </row>
    <row r="311">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c r="AC311" s="194"/>
      <c r="AD311" s="194"/>
      <c r="AE311" s="194"/>
    </row>
    <row r="312">
      <c r="A312" s="194"/>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c r="AA312" s="194"/>
      <c r="AB312" s="194"/>
      <c r="AC312" s="194"/>
      <c r="AD312" s="194"/>
      <c r="AE312" s="194"/>
    </row>
    <row r="313">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c r="AA313" s="194"/>
      <c r="AB313" s="194"/>
      <c r="AC313" s="194"/>
      <c r="AD313" s="194"/>
      <c r="AE313" s="194"/>
    </row>
    <row r="314">
      <c r="A314" s="194"/>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c r="AA314" s="194"/>
      <c r="AB314" s="194"/>
      <c r="AC314" s="194"/>
      <c r="AD314" s="194"/>
      <c r="AE314" s="194"/>
    </row>
    <row r="31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c r="AA315" s="194"/>
      <c r="AB315" s="194"/>
      <c r="AC315" s="194"/>
      <c r="AD315" s="194"/>
      <c r="AE315" s="194"/>
    </row>
    <row r="316">
      <c r="A316" s="194"/>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c r="AA316" s="194"/>
      <c r="AB316" s="194"/>
      <c r="AC316" s="194"/>
      <c r="AD316" s="194"/>
      <c r="AE316" s="194"/>
    </row>
    <row r="317">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c r="AA317" s="194"/>
      <c r="AB317" s="194"/>
      <c r="AC317" s="194"/>
      <c r="AD317" s="194"/>
      <c r="AE317" s="194"/>
    </row>
    <row r="318">
      <c r="A318" s="194"/>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c r="AC318" s="194"/>
      <c r="AD318" s="194"/>
      <c r="AE318" s="194"/>
    </row>
    <row r="319">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c r="AA319" s="194"/>
      <c r="AB319" s="194"/>
      <c r="AC319" s="194"/>
      <c r="AD319" s="194"/>
      <c r="AE319" s="194"/>
    </row>
    <row r="320">
      <c r="A320" s="194"/>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c r="AA320" s="194"/>
      <c r="AB320" s="194"/>
      <c r="AC320" s="194"/>
      <c r="AD320" s="194"/>
      <c r="AE320" s="194"/>
    </row>
    <row r="321">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c r="AA321" s="194"/>
      <c r="AB321" s="194"/>
      <c r="AC321" s="194"/>
      <c r="AD321" s="194"/>
      <c r="AE321" s="194"/>
    </row>
    <row r="322">
      <c r="A322" s="194"/>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c r="AA322" s="194"/>
      <c r="AB322" s="194"/>
      <c r="AC322" s="194"/>
      <c r="AD322" s="194"/>
      <c r="AE322" s="194"/>
    </row>
    <row r="323">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c r="AC323" s="194"/>
      <c r="AD323" s="194"/>
      <c r="AE323" s="194"/>
    </row>
    <row r="324">
      <c r="A324" s="194"/>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c r="AA324" s="194"/>
      <c r="AB324" s="194"/>
      <c r="AC324" s="194"/>
      <c r="AD324" s="194"/>
      <c r="AE324" s="194"/>
    </row>
    <row r="3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4"/>
      <c r="AC325" s="194"/>
      <c r="AD325" s="194"/>
      <c r="AE325" s="194"/>
    </row>
    <row r="326">
      <c r="A326" s="194"/>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c r="AA326" s="194"/>
      <c r="AB326" s="194"/>
      <c r="AC326" s="194"/>
      <c r="AD326" s="194"/>
      <c r="AE326" s="194"/>
    </row>
    <row r="327">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194"/>
      <c r="AC327" s="194"/>
      <c r="AD327" s="194"/>
      <c r="AE327" s="194"/>
    </row>
    <row r="328">
      <c r="A328" s="194"/>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c r="AA328" s="194"/>
      <c r="AB328" s="194"/>
      <c r="AC328" s="194"/>
      <c r="AD328" s="194"/>
      <c r="AE328" s="194"/>
    </row>
    <row r="329">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c r="AC329" s="194"/>
      <c r="AD329" s="194"/>
      <c r="AE329" s="194"/>
    </row>
    <row r="330">
      <c r="A330" s="194"/>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c r="AA330" s="194"/>
      <c r="AB330" s="194"/>
      <c r="AC330" s="194"/>
      <c r="AD330" s="194"/>
      <c r="AE330" s="194"/>
    </row>
    <row r="331">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c r="AA331" s="194"/>
      <c r="AB331" s="194"/>
      <c r="AC331" s="194"/>
      <c r="AD331" s="194"/>
      <c r="AE331" s="194"/>
    </row>
    <row r="332">
      <c r="A332" s="194"/>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c r="AA332" s="194"/>
      <c r="AB332" s="194"/>
      <c r="AC332" s="194"/>
      <c r="AD332" s="194"/>
      <c r="AE332" s="194"/>
    </row>
    <row r="333">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c r="AA333" s="194"/>
      <c r="AB333" s="194"/>
      <c r="AC333" s="194"/>
      <c r="AD333" s="194"/>
      <c r="AE333" s="194"/>
    </row>
    <row r="334">
      <c r="A334" s="194"/>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c r="AA334" s="194"/>
      <c r="AB334" s="194"/>
      <c r="AC334" s="194"/>
      <c r="AD334" s="194"/>
      <c r="AE334" s="194"/>
    </row>
    <row r="33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194"/>
      <c r="AC335" s="194"/>
      <c r="AD335" s="194"/>
      <c r="AE335" s="194"/>
    </row>
    <row r="336">
      <c r="A336" s="194"/>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c r="AA336" s="194"/>
      <c r="AB336" s="194"/>
      <c r="AC336" s="194"/>
      <c r="AD336" s="194"/>
      <c r="AE336" s="194"/>
    </row>
    <row r="337">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row>
    <row r="338">
      <c r="A338" s="194"/>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row>
    <row r="339">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c r="AC339" s="194"/>
      <c r="AD339" s="194"/>
      <c r="AE339" s="194"/>
    </row>
    <row r="340">
      <c r="A340" s="194"/>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c r="AC340" s="194"/>
      <c r="AD340" s="194"/>
      <c r="AE340" s="194"/>
    </row>
    <row r="341">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c r="AC341" s="194"/>
      <c r="AD341" s="194"/>
      <c r="AE341" s="194"/>
    </row>
    <row r="342">
      <c r="A342" s="194"/>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c r="AA342" s="194"/>
      <c r="AB342" s="194"/>
      <c r="AC342" s="194"/>
      <c r="AD342" s="194"/>
      <c r="AE342" s="194"/>
    </row>
    <row r="343">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c r="AC343" s="194"/>
      <c r="AD343" s="194"/>
      <c r="AE343" s="194"/>
    </row>
    <row r="344">
      <c r="A344" s="194"/>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c r="AA344" s="194"/>
      <c r="AB344" s="194"/>
      <c r="AC344" s="194"/>
      <c r="AD344" s="194"/>
      <c r="AE344" s="194"/>
    </row>
    <row r="34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c r="AC345" s="194"/>
      <c r="AD345" s="194"/>
      <c r="AE345" s="194"/>
    </row>
    <row r="346">
      <c r="A346" s="194"/>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c r="AA346" s="194"/>
      <c r="AB346" s="194"/>
      <c r="AC346" s="194"/>
      <c r="AD346" s="194"/>
      <c r="AE346" s="194"/>
    </row>
    <row r="347">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c r="AA347" s="194"/>
      <c r="AB347" s="194"/>
      <c r="AC347" s="194"/>
      <c r="AD347" s="194"/>
      <c r="AE347" s="194"/>
    </row>
    <row r="348">
      <c r="A348" s="194"/>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c r="AA348" s="194"/>
      <c r="AB348" s="194"/>
      <c r="AC348" s="194"/>
      <c r="AD348" s="194"/>
      <c r="AE348" s="194"/>
    </row>
    <row r="349">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c r="AA349" s="194"/>
      <c r="AB349" s="194"/>
      <c r="AC349" s="194"/>
      <c r="AD349" s="194"/>
      <c r="AE349" s="194"/>
    </row>
    <row r="350">
      <c r="A350" s="194"/>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row>
    <row r="351">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c r="AA351" s="194"/>
      <c r="AB351" s="194"/>
      <c r="AC351" s="194"/>
      <c r="AD351" s="194"/>
      <c r="AE351" s="194"/>
    </row>
    <row r="352">
      <c r="A352" s="194"/>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c r="AA352" s="194"/>
      <c r="AB352" s="194"/>
      <c r="AC352" s="194"/>
      <c r="AD352" s="194"/>
      <c r="AE352" s="194"/>
    </row>
    <row r="353">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c r="AA353" s="194"/>
      <c r="AB353" s="194"/>
      <c r="AC353" s="194"/>
      <c r="AD353" s="194"/>
      <c r="AE353" s="194"/>
    </row>
    <row r="354">
      <c r="A354" s="194"/>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c r="AA354" s="194"/>
      <c r="AB354" s="194"/>
      <c r="AC354" s="194"/>
      <c r="AD354" s="194"/>
      <c r="AE354" s="194"/>
    </row>
    <row r="35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c r="AC355" s="194"/>
      <c r="AD355" s="194"/>
      <c r="AE355" s="194"/>
    </row>
    <row r="356">
      <c r="A356" s="194"/>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c r="AA356" s="194"/>
      <c r="AB356" s="194"/>
      <c r="AC356" s="194"/>
      <c r="AD356" s="194"/>
      <c r="AE356" s="194"/>
    </row>
    <row r="357">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c r="AC357" s="194"/>
      <c r="AD357" s="194"/>
      <c r="AE357" s="194"/>
    </row>
    <row r="358">
      <c r="A358" s="194"/>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c r="AA358" s="194"/>
      <c r="AB358" s="194"/>
      <c r="AC358" s="194"/>
      <c r="AD358" s="194"/>
      <c r="AE358" s="194"/>
    </row>
    <row r="359">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c r="AC359" s="194"/>
      <c r="AD359" s="194"/>
      <c r="AE359" s="194"/>
    </row>
    <row r="360">
      <c r="A360" s="194"/>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c r="AA360" s="194"/>
      <c r="AB360" s="194"/>
      <c r="AC360" s="194"/>
      <c r="AD360" s="194"/>
      <c r="AE360" s="194"/>
    </row>
    <row r="361">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c r="AC361" s="194"/>
      <c r="AD361" s="194"/>
      <c r="AE361" s="194"/>
    </row>
    <row r="362">
      <c r="A362" s="194"/>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c r="AA362" s="194"/>
      <c r="AB362" s="194"/>
      <c r="AC362" s="194"/>
      <c r="AD362" s="194"/>
      <c r="AE362" s="194"/>
    </row>
    <row r="363">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c r="AA363" s="194"/>
      <c r="AB363" s="194"/>
      <c r="AC363" s="194"/>
      <c r="AD363" s="194"/>
      <c r="AE363" s="194"/>
    </row>
    <row r="364">
      <c r="A364" s="194"/>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c r="AA364" s="194"/>
      <c r="AB364" s="194"/>
      <c r="AC364" s="194"/>
      <c r="AD364" s="194"/>
      <c r="AE364" s="194"/>
    </row>
    <row r="36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c r="AA365" s="194"/>
      <c r="AB365" s="194"/>
      <c r="AC365" s="194"/>
      <c r="AD365" s="194"/>
      <c r="AE365" s="194"/>
    </row>
    <row r="366">
      <c r="A366" s="194"/>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c r="AA366" s="194"/>
      <c r="AB366" s="194"/>
      <c r="AC366" s="194"/>
      <c r="AD366" s="194"/>
      <c r="AE366" s="194"/>
    </row>
    <row r="367">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c r="AC367" s="194"/>
      <c r="AD367" s="194"/>
      <c r="AE367" s="194"/>
    </row>
    <row r="368">
      <c r="A368" s="194"/>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c r="AA368" s="194"/>
      <c r="AB368" s="194"/>
      <c r="AC368" s="194"/>
      <c r="AD368" s="194"/>
      <c r="AE368" s="194"/>
    </row>
    <row r="369">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c r="AC369" s="194"/>
      <c r="AD369" s="194"/>
      <c r="AE369" s="194"/>
    </row>
    <row r="370">
      <c r="A370" s="194"/>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c r="AA370" s="194"/>
      <c r="AB370" s="194"/>
      <c r="AC370" s="194"/>
      <c r="AD370" s="194"/>
      <c r="AE370" s="194"/>
    </row>
    <row r="371">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c r="AA371" s="194"/>
      <c r="AB371" s="194"/>
      <c r="AC371" s="194"/>
      <c r="AD371" s="194"/>
      <c r="AE371" s="194"/>
    </row>
    <row r="372">
      <c r="A372" s="194"/>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c r="AA372" s="194"/>
      <c r="AB372" s="194"/>
      <c r="AC372" s="194"/>
      <c r="AD372" s="194"/>
      <c r="AE372" s="194"/>
    </row>
    <row r="373">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c r="AA373" s="194"/>
      <c r="AB373" s="194"/>
      <c r="AC373" s="194"/>
      <c r="AD373" s="194"/>
      <c r="AE373" s="194"/>
    </row>
    <row r="374">
      <c r="A374" s="194"/>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c r="AA374" s="194"/>
      <c r="AB374" s="194"/>
      <c r="AC374" s="194"/>
      <c r="AD374" s="194"/>
      <c r="AE374" s="194"/>
    </row>
    <row r="37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c r="AC375" s="194"/>
      <c r="AD375" s="194"/>
      <c r="AE375" s="194"/>
    </row>
    <row r="376">
      <c r="A376" s="194"/>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c r="AA376" s="194"/>
      <c r="AB376" s="194"/>
      <c r="AC376" s="194"/>
      <c r="AD376" s="194"/>
      <c r="AE376" s="194"/>
    </row>
    <row r="377">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c r="AA377" s="194"/>
      <c r="AB377" s="194"/>
      <c r="AC377" s="194"/>
      <c r="AD377" s="194"/>
      <c r="AE377" s="194"/>
    </row>
    <row r="378">
      <c r="A378" s="194"/>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c r="AA378" s="194"/>
      <c r="AB378" s="194"/>
      <c r="AC378" s="194"/>
      <c r="AD378" s="194"/>
      <c r="AE378" s="194"/>
    </row>
    <row r="379">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c r="AA379" s="194"/>
      <c r="AB379" s="194"/>
      <c r="AC379" s="194"/>
      <c r="AD379" s="194"/>
      <c r="AE379" s="194"/>
    </row>
    <row r="380">
      <c r="A380" s="194"/>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c r="AA380" s="194"/>
      <c r="AB380" s="194"/>
      <c r="AC380" s="194"/>
      <c r="AD380" s="194"/>
      <c r="AE380" s="194"/>
    </row>
    <row r="381">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c r="AA381" s="194"/>
      <c r="AB381" s="194"/>
      <c r="AC381" s="194"/>
      <c r="AD381" s="194"/>
      <c r="AE381" s="194"/>
    </row>
    <row r="382">
      <c r="A382" s="194"/>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c r="AA382" s="194"/>
      <c r="AB382" s="194"/>
      <c r="AC382" s="194"/>
      <c r="AD382" s="194"/>
      <c r="AE382" s="194"/>
    </row>
    <row r="383">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c r="AA383" s="194"/>
      <c r="AB383" s="194"/>
      <c r="AC383" s="194"/>
      <c r="AD383" s="194"/>
      <c r="AE383" s="194"/>
    </row>
    <row r="384">
      <c r="A384" s="194"/>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c r="AA384" s="194"/>
      <c r="AB384" s="194"/>
      <c r="AC384" s="194"/>
      <c r="AD384" s="194"/>
      <c r="AE384" s="194"/>
    </row>
    <row r="38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c r="AA385" s="194"/>
      <c r="AB385" s="194"/>
      <c r="AC385" s="194"/>
      <c r="AD385" s="194"/>
      <c r="AE385" s="194"/>
    </row>
    <row r="386">
      <c r="A386" s="194"/>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c r="AA386" s="194"/>
      <c r="AB386" s="194"/>
      <c r="AC386" s="194"/>
      <c r="AD386" s="194"/>
      <c r="AE386" s="194"/>
    </row>
    <row r="387">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c r="AA387" s="194"/>
      <c r="AB387" s="194"/>
      <c r="AC387" s="194"/>
      <c r="AD387" s="194"/>
      <c r="AE387" s="194"/>
    </row>
    <row r="388">
      <c r="A388" s="194"/>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c r="AA388" s="194"/>
      <c r="AB388" s="194"/>
      <c r="AC388" s="194"/>
      <c r="AD388" s="194"/>
      <c r="AE388" s="194"/>
    </row>
    <row r="389">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c r="AA389" s="194"/>
      <c r="AB389" s="194"/>
      <c r="AC389" s="194"/>
      <c r="AD389" s="194"/>
      <c r="AE389" s="194"/>
    </row>
    <row r="390">
      <c r="A390" s="194"/>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c r="AA390" s="194"/>
      <c r="AB390" s="194"/>
      <c r="AC390" s="194"/>
      <c r="AD390" s="194"/>
      <c r="AE390" s="194"/>
    </row>
    <row r="391">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c r="AC391" s="194"/>
      <c r="AD391" s="194"/>
      <c r="AE391" s="194"/>
    </row>
    <row r="392">
      <c r="A392" s="194"/>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c r="AA392" s="194"/>
      <c r="AB392" s="194"/>
      <c r="AC392" s="194"/>
      <c r="AD392" s="194"/>
      <c r="AE392" s="194"/>
    </row>
    <row r="393">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c r="AA393" s="194"/>
      <c r="AB393" s="194"/>
      <c r="AC393" s="194"/>
      <c r="AD393" s="194"/>
      <c r="AE393" s="194"/>
    </row>
    <row r="394">
      <c r="A394" s="194"/>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c r="AA394" s="194"/>
      <c r="AB394" s="194"/>
      <c r="AC394" s="194"/>
      <c r="AD394" s="194"/>
      <c r="AE394" s="194"/>
    </row>
    <row r="39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c r="AA395" s="194"/>
      <c r="AB395" s="194"/>
      <c r="AC395" s="194"/>
      <c r="AD395" s="194"/>
      <c r="AE395" s="194"/>
    </row>
    <row r="396">
      <c r="A396" s="194"/>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c r="AA396" s="194"/>
      <c r="AB396" s="194"/>
      <c r="AC396" s="194"/>
      <c r="AD396" s="194"/>
      <c r="AE396" s="194"/>
    </row>
    <row r="397">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c r="AA397" s="194"/>
      <c r="AB397" s="194"/>
      <c r="AC397" s="194"/>
      <c r="AD397" s="194"/>
      <c r="AE397" s="194"/>
    </row>
    <row r="398">
      <c r="A398" s="194"/>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c r="AA398" s="194"/>
      <c r="AB398" s="194"/>
      <c r="AC398" s="194"/>
      <c r="AD398" s="194"/>
      <c r="AE398" s="194"/>
    </row>
    <row r="399">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c r="AA399" s="194"/>
      <c r="AB399" s="194"/>
      <c r="AC399" s="194"/>
      <c r="AD399" s="194"/>
      <c r="AE399" s="194"/>
    </row>
    <row r="400">
      <c r="A400" s="194"/>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c r="AA400" s="194"/>
      <c r="AB400" s="194"/>
      <c r="AC400" s="194"/>
      <c r="AD400" s="194"/>
      <c r="AE400" s="194"/>
    </row>
    <row r="401">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c r="AA401" s="194"/>
      <c r="AB401" s="194"/>
      <c r="AC401" s="194"/>
      <c r="AD401" s="194"/>
      <c r="AE401" s="194"/>
    </row>
    <row r="402">
      <c r="A402" s="194"/>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c r="AA402" s="194"/>
      <c r="AB402" s="194"/>
      <c r="AC402" s="194"/>
      <c r="AD402" s="194"/>
      <c r="AE402" s="194"/>
    </row>
    <row r="403">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c r="AA403" s="194"/>
      <c r="AB403" s="194"/>
      <c r="AC403" s="194"/>
      <c r="AD403" s="194"/>
      <c r="AE403" s="194"/>
    </row>
    <row r="404">
      <c r="A404" s="194"/>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c r="AA404" s="194"/>
      <c r="AB404" s="194"/>
      <c r="AC404" s="194"/>
      <c r="AD404" s="194"/>
      <c r="AE404" s="194"/>
    </row>
    <row r="40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row>
    <row r="406">
      <c r="A406" s="194"/>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c r="AA406" s="194"/>
      <c r="AB406" s="194"/>
      <c r="AC406" s="194"/>
      <c r="AD406" s="194"/>
      <c r="AE406" s="194"/>
    </row>
    <row r="407">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c r="AA407" s="194"/>
      <c r="AB407" s="194"/>
      <c r="AC407" s="194"/>
      <c r="AD407" s="194"/>
      <c r="AE407" s="194"/>
    </row>
    <row r="408">
      <c r="A408" s="194"/>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c r="AA408" s="194"/>
      <c r="AB408" s="194"/>
      <c r="AC408" s="194"/>
      <c r="AD408" s="194"/>
      <c r="AE408" s="194"/>
    </row>
    <row r="409">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row>
    <row r="410">
      <c r="A410" s="194"/>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c r="AA410" s="194"/>
      <c r="AB410" s="194"/>
      <c r="AC410" s="194"/>
      <c r="AD410" s="194"/>
      <c r="AE410" s="194"/>
    </row>
    <row r="411">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c r="AA411" s="194"/>
      <c r="AB411" s="194"/>
      <c r="AC411" s="194"/>
      <c r="AD411" s="194"/>
      <c r="AE411" s="194"/>
    </row>
    <row r="412">
      <c r="A412" s="194"/>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c r="AA412" s="194"/>
      <c r="AB412" s="194"/>
      <c r="AC412" s="194"/>
      <c r="AD412" s="194"/>
      <c r="AE412" s="194"/>
    </row>
    <row r="413">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c r="AA413" s="194"/>
      <c r="AB413" s="194"/>
      <c r="AC413" s="194"/>
      <c r="AD413" s="194"/>
      <c r="AE413" s="194"/>
    </row>
    <row r="414">
      <c r="A414" s="194"/>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c r="AA414" s="194"/>
      <c r="AB414" s="194"/>
      <c r="AC414" s="194"/>
      <c r="AD414" s="194"/>
      <c r="AE414" s="194"/>
    </row>
    <row r="41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c r="AA415" s="194"/>
      <c r="AB415" s="194"/>
      <c r="AC415" s="194"/>
      <c r="AD415" s="194"/>
      <c r="AE415" s="194"/>
    </row>
    <row r="416">
      <c r="A416" s="194"/>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c r="AA416" s="194"/>
      <c r="AB416" s="194"/>
      <c r="AC416" s="194"/>
      <c r="AD416" s="194"/>
      <c r="AE416" s="194"/>
    </row>
    <row r="417">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c r="AA417" s="194"/>
      <c r="AB417" s="194"/>
      <c r="AC417" s="194"/>
      <c r="AD417" s="194"/>
      <c r="AE417" s="194"/>
    </row>
    <row r="418">
      <c r="A418" s="194"/>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c r="AA418" s="194"/>
      <c r="AB418" s="194"/>
      <c r="AC418" s="194"/>
      <c r="AD418" s="194"/>
      <c r="AE418" s="194"/>
    </row>
    <row r="419">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c r="AA419" s="194"/>
      <c r="AB419" s="194"/>
      <c r="AC419" s="194"/>
      <c r="AD419" s="194"/>
      <c r="AE419" s="194"/>
    </row>
    <row r="420">
      <c r="A420" s="194"/>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row>
    <row r="421">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c r="AC421" s="194"/>
      <c r="AD421" s="194"/>
      <c r="AE421" s="194"/>
    </row>
    <row r="422">
      <c r="A422" s="194"/>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c r="AC422" s="194"/>
      <c r="AD422" s="194"/>
      <c r="AE422" s="194"/>
    </row>
    <row r="423">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c r="AC423" s="194"/>
      <c r="AD423" s="194"/>
      <c r="AE423" s="194"/>
    </row>
    <row r="424">
      <c r="A424" s="194"/>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c r="AA424" s="194"/>
      <c r="AB424" s="194"/>
      <c r="AC424" s="194"/>
      <c r="AD424" s="194"/>
      <c r="AE424" s="194"/>
    </row>
    <row r="4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c r="AA425" s="194"/>
      <c r="AB425" s="194"/>
      <c r="AC425" s="194"/>
      <c r="AD425" s="194"/>
      <c r="AE425" s="194"/>
    </row>
    <row r="426">
      <c r="A426" s="194"/>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c r="AA426" s="194"/>
      <c r="AB426" s="194"/>
      <c r="AC426" s="194"/>
      <c r="AD426" s="194"/>
      <c r="AE426" s="194"/>
    </row>
    <row r="427">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c r="AA427" s="194"/>
      <c r="AB427" s="194"/>
      <c r="AC427" s="194"/>
      <c r="AD427" s="194"/>
      <c r="AE427" s="194"/>
    </row>
    <row r="428">
      <c r="A428" s="194"/>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c r="AA428" s="194"/>
      <c r="AB428" s="194"/>
      <c r="AC428" s="194"/>
      <c r="AD428" s="194"/>
      <c r="AE428" s="194"/>
    </row>
    <row r="429">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c r="AA429" s="194"/>
      <c r="AB429" s="194"/>
      <c r="AC429" s="194"/>
      <c r="AD429" s="194"/>
      <c r="AE429" s="194"/>
    </row>
    <row r="430">
      <c r="A430" s="194"/>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c r="AA430" s="194"/>
      <c r="AB430" s="194"/>
      <c r="AC430" s="194"/>
      <c r="AD430" s="194"/>
      <c r="AE430" s="194"/>
    </row>
    <row r="431">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c r="AC431" s="194"/>
      <c r="AD431" s="194"/>
      <c r="AE431" s="194"/>
    </row>
    <row r="432">
      <c r="A432" s="194"/>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c r="AC432" s="194"/>
      <c r="AD432" s="194"/>
      <c r="AE432" s="194"/>
    </row>
    <row r="433">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c r="AA433" s="194"/>
      <c r="AB433" s="194"/>
      <c r="AC433" s="194"/>
      <c r="AD433" s="194"/>
      <c r="AE433" s="194"/>
    </row>
    <row r="434">
      <c r="A434" s="194"/>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c r="AA434" s="194"/>
      <c r="AB434" s="194"/>
      <c r="AC434" s="194"/>
      <c r="AD434" s="194"/>
      <c r="AE434" s="194"/>
    </row>
    <row r="43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c r="AC435" s="194"/>
      <c r="AD435" s="194"/>
      <c r="AE435" s="194"/>
    </row>
    <row r="436">
      <c r="A436" s="194"/>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c r="AC436" s="194"/>
      <c r="AD436" s="194"/>
      <c r="AE436" s="194"/>
    </row>
    <row r="437">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c r="AC437" s="194"/>
      <c r="AD437" s="194"/>
      <c r="AE437" s="194"/>
    </row>
    <row r="438">
      <c r="A438" s="194"/>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c r="AC438" s="194"/>
      <c r="AD438" s="194"/>
      <c r="AE438" s="194"/>
    </row>
    <row r="439">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c r="AA439" s="194"/>
      <c r="AB439" s="194"/>
      <c r="AC439" s="194"/>
      <c r="AD439" s="194"/>
      <c r="AE439" s="194"/>
    </row>
    <row r="440">
      <c r="A440" s="194"/>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c r="AA440" s="194"/>
      <c r="AB440" s="194"/>
      <c r="AC440" s="194"/>
      <c r="AD440" s="194"/>
      <c r="AE440" s="194"/>
    </row>
    <row r="441">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c r="AA441" s="194"/>
      <c r="AB441" s="194"/>
      <c r="AC441" s="194"/>
      <c r="AD441" s="194"/>
      <c r="AE441" s="194"/>
    </row>
    <row r="442">
      <c r="A442" s="194"/>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c r="AA442" s="194"/>
      <c r="AB442" s="194"/>
      <c r="AC442" s="194"/>
      <c r="AD442" s="194"/>
      <c r="AE442" s="194"/>
    </row>
    <row r="443">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c r="AA443" s="194"/>
      <c r="AB443" s="194"/>
      <c r="AC443" s="194"/>
      <c r="AD443" s="194"/>
      <c r="AE443" s="194"/>
    </row>
    <row r="444">
      <c r="A444" s="194"/>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c r="AA444" s="194"/>
      <c r="AB444" s="194"/>
      <c r="AC444" s="194"/>
      <c r="AD444" s="194"/>
      <c r="AE444" s="194"/>
    </row>
    <row r="44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c r="AA445" s="194"/>
      <c r="AB445" s="194"/>
      <c r="AC445" s="194"/>
      <c r="AD445" s="194"/>
      <c r="AE445" s="194"/>
    </row>
    <row r="446">
      <c r="A446" s="194"/>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c r="AA446" s="194"/>
      <c r="AB446" s="194"/>
      <c r="AC446" s="194"/>
      <c r="AD446" s="194"/>
      <c r="AE446" s="194"/>
    </row>
    <row r="447">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c r="AA447" s="194"/>
      <c r="AB447" s="194"/>
      <c r="AC447" s="194"/>
      <c r="AD447" s="194"/>
      <c r="AE447" s="194"/>
    </row>
    <row r="448">
      <c r="A448" s="194"/>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c r="AA448" s="194"/>
      <c r="AB448" s="194"/>
      <c r="AC448" s="194"/>
      <c r="AD448" s="194"/>
      <c r="AE448" s="194"/>
    </row>
    <row r="449">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c r="AA449" s="194"/>
      <c r="AB449" s="194"/>
      <c r="AC449" s="194"/>
      <c r="AD449" s="194"/>
      <c r="AE449" s="194"/>
    </row>
    <row r="450">
      <c r="A450" s="194"/>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c r="AA450" s="194"/>
      <c r="AB450" s="194"/>
      <c r="AC450" s="194"/>
      <c r="AD450" s="194"/>
      <c r="AE450" s="194"/>
    </row>
    <row r="451">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c r="AC451" s="194"/>
      <c r="AD451" s="194"/>
      <c r="AE451" s="194"/>
    </row>
    <row r="452">
      <c r="A452" s="194"/>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c r="AA452" s="194"/>
      <c r="AB452" s="194"/>
      <c r="AC452" s="194"/>
      <c r="AD452" s="194"/>
      <c r="AE452" s="194"/>
    </row>
    <row r="453">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row>
    <row r="454">
      <c r="A454" s="194"/>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row>
    <row r="45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row>
    <row r="456">
      <c r="A456" s="194"/>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c r="AD456" s="194"/>
      <c r="AE456" s="194"/>
    </row>
    <row r="457">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c r="AD457" s="194"/>
      <c r="AE457" s="194"/>
    </row>
    <row r="458">
      <c r="A458" s="194"/>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c r="AD458" s="194"/>
      <c r="AE458" s="194"/>
    </row>
    <row r="459">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c r="AD459" s="194"/>
      <c r="AE459" s="194"/>
    </row>
    <row r="460">
      <c r="A460" s="194"/>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c r="AD460" s="194"/>
      <c r="AE460" s="194"/>
    </row>
    <row r="461">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c r="AD461" s="194"/>
      <c r="AE461" s="194"/>
    </row>
    <row r="462">
      <c r="A462" s="194"/>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c r="AD462" s="194"/>
      <c r="AE462" s="194"/>
    </row>
    <row r="463">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row>
    <row r="464">
      <c r="A464" s="194"/>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row>
    <row r="46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c r="AA465" s="194"/>
      <c r="AB465" s="194"/>
      <c r="AC465" s="194"/>
      <c r="AD465" s="194"/>
      <c r="AE465" s="194"/>
    </row>
    <row r="466">
      <c r="A466" s="194"/>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c r="AD466" s="194"/>
      <c r="AE466" s="194"/>
    </row>
    <row r="467">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c r="AC467" s="194"/>
      <c r="AD467" s="194"/>
      <c r="AE467" s="194"/>
    </row>
    <row r="468">
      <c r="A468" s="194"/>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row>
    <row r="469">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row>
    <row r="470">
      <c r="A470" s="194"/>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row>
    <row r="471">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c r="AD471" s="194"/>
      <c r="AE471" s="194"/>
    </row>
    <row r="472">
      <c r="A472" s="194"/>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c r="AD472" s="194"/>
      <c r="AE472" s="194"/>
    </row>
    <row r="473">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c r="AD473" s="194"/>
      <c r="AE473" s="194"/>
    </row>
    <row r="474">
      <c r="A474" s="194"/>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c r="AD474" s="194"/>
      <c r="AE474" s="194"/>
    </row>
    <row r="47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c r="AD475" s="194"/>
      <c r="AE475" s="194"/>
    </row>
    <row r="476">
      <c r="A476" s="194"/>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c r="AD476" s="194"/>
      <c r="AE476" s="194"/>
    </row>
    <row r="477">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c r="AD477" s="194"/>
      <c r="AE477" s="194"/>
    </row>
    <row r="478">
      <c r="A478" s="194"/>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c r="AD478" s="194"/>
      <c r="AE478" s="194"/>
    </row>
    <row r="479">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c r="AD479" s="194"/>
      <c r="AE479" s="194"/>
    </row>
    <row r="480">
      <c r="A480" s="194"/>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c r="AA480" s="194"/>
      <c r="AB480" s="194"/>
      <c r="AC480" s="194"/>
      <c r="AD480" s="194"/>
      <c r="AE480" s="194"/>
    </row>
    <row r="481">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c r="AD481" s="194"/>
      <c r="AE481" s="194"/>
    </row>
    <row r="482">
      <c r="A482" s="194"/>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c r="AA482" s="194"/>
      <c r="AB482" s="194"/>
      <c r="AC482" s="194"/>
      <c r="AD482" s="194"/>
      <c r="AE482" s="194"/>
    </row>
    <row r="483">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c r="AC483" s="194"/>
      <c r="AD483" s="194"/>
      <c r="AE483" s="194"/>
    </row>
    <row r="484">
      <c r="A484" s="194"/>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c r="AA484" s="194"/>
      <c r="AB484" s="194"/>
      <c r="AC484" s="194"/>
      <c r="AD484" s="194"/>
      <c r="AE484" s="194"/>
    </row>
    <row r="48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c r="AD485" s="194"/>
      <c r="AE485" s="194"/>
    </row>
    <row r="486">
      <c r="A486" s="194"/>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row>
    <row r="487">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c r="AD487" s="194"/>
      <c r="AE487" s="194"/>
    </row>
    <row r="488">
      <c r="A488" s="194"/>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c r="AA488" s="194"/>
      <c r="AB488" s="194"/>
      <c r="AC488" s="194"/>
      <c r="AD488" s="194"/>
      <c r="AE488" s="194"/>
    </row>
    <row r="489">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c r="AC489" s="194"/>
      <c r="AD489" s="194"/>
      <c r="AE489" s="194"/>
    </row>
    <row r="490">
      <c r="A490" s="194"/>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c r="AA490" s="194"/>
      <c r="AB490" s="194"/>
      <c r="AC490" s="194"/>
      <c r="AD490" s="194"/>
      <c r="AE490" s="194"/>
    </row>
    <row r="491">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c r="AC491" s="194"/>
      <c r="AD491" s="194"/>
      <c r="AE491" s="194"/>
    </row>
    <row r="492">
      <c r="A492" s="194"/>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c r="AA492" s="194"/>
      <c r="AB492" s="194"/>
      <c r="AC492" s="194"/>
      <c r="AD492" s="194"/>
      <c r="AE492" s="194"/>
    </row>
    <row r="493">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c r="AA493" s="194"/>
      <c r="AB493" s="194"/>
      <c r="AC493" s="194"/>
      <c r="AD493" s="194"/>
      <c r="AE493" s="194"/>
    </row>
    <row r="494">
      <c r="A494" s="194"/>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c r="AA494" s="194"/>
      <c r="AB494" s="194"/>
      <c r="AC494" s="194"/>
      <c r="AD494" s="194"/>
      <c r="AE494" s="194"/>
    </row>
    <row r="49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c r="AA495" s="194"/>
      <c r="AB495" s="194"/>
      <c r="AC495" s="194"/>
      <c r="AD495" s="194"/>
      <c r="AE495" s="194"/>
    </row>
    <row r="496">
      <c r="A496" s="194"/>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c r="AA496" s="194"/>
      <c r="AB496" s="194"/>
      <c r="AC496" s="194"/>
      <c r="AD496" s="194"/>
      <c r="AE496" s="194"/>
    </row>
    <row r="497">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c r="AA497" s="194"/>
      <c r="AB497" s="194"/>
      <c r="AC497" s="194"/>
      <c r="AD497" s="194"/>
      <c r="AE497" s="194"/>
    </row>
    <row r="498">
      <c r="A498" s="194"/>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c r="AA498" s="194"/>
      <c r="AB498" s="194"/>
      <c r="AC498" s="194"/>
      <c r="AD498" s="194"/>
      <c r="AE498" s="194"/>
    </row>
    <row r="499">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c r="AA499" s="194"/>
      <c r="AB499" s="194"/>
      <c r="AC499" s="194"/>
      <c r="AD499" s="194"/>
      <c r="AE499" s="194"/>
    </row>
    <row r="500">
      <c r="A500" s="194"/>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c r="AA500" s="194"/>
      <c r="AB500" s="194"/>
      <c r="AC500" s="194"/>
      <c r="AD500" s="194"/>
      <c r="AE500" s="194"/>
    </row>
    <row r="501">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c r="AC501" s="194"/>
      <c r="AD501" s="194"/>
      <c r="AE501" s="194"/>
    </row>
    <row r="502">
      <c r="A502" s="194"/>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c r="AA502" s="194"/>
      <c r="AB502" s="194"/>
      <c r="AC502" s="194"/>
      <c r="AD502" s="194"/>
      <c r="AE502" s="194"/>
    </row>
    <row r="503">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c r="AC503" s="194"/>
      <c r="AD503" s="194"/>
      <c r="AE503" s="194"/>
    </row>
    <row r="504">
      <c r="A504" s="194"/>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c r="AA504" s="194"/>
      <c r="AB504" s="194"/>
      <c r="AC504" s="194"/>
      <c r="AD504" s="194"/>
      <c r="AE504" s="194"/>
    </row>
    <row r="50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c r="AC505" s="194"/>
      <c r="AD505" s="194"/>
      <c r="AE505" s="194"/>
    </row>
    <row r="506">
      <c r="A506" s="194"/>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c r="AA506" s="194"/>
      <c r="AB506" s="194"/>
      <c r="AC506" s="194"/>
      <c r="AD506" s="194"/>
      <c r="AE506" s="194"/>
    </row>
    <row r="507">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c r="AC507" s="194"/>
      <c r="AD507" s="194"/>
      <c r="AE507" s="194"/>
    </row>
    <row r="508">
      <c r="A508" s="194"/>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c r="AA508" s="194"/>
      <c r="AB508" s="194"/>
      <c r="AC508" s="194"/>
      <c r="AD508" s="194"/>
      <c r="AE508" s="194"/>
    </row>
    <row r="509">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c r="AD509" s="194"/>
      <c r="AE509" s="194"/>
    </row>
    <row r="510">
      <c r="A510" s="194"/>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c r="AA510" s="194"/>
      <c r="AB510" s="194"/>
      <c r="AC510" s="194"/>
      <c r="AD510" s="194"/>
      <c r="AE510" s="194"/>
    </row>
    <row r="511">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c r="AC511" s="194"/>
      <c r="AD511" s="194"/>
      <c r="AE511" s="194"/>
    </row>
    <row r="512">
      <c r="A512" s="194"/>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c r="AA512" s="194"/>
      <c r="AB512" s="194"/>
      <c r="AC512" s="194"/>
      <c r="AD512" s="194"/>
      <c r="AE512" s="194"/>
    </row>
    <row r="513">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c r="AC513" s="194"/>
      <c r="AD513" s="194"/>
      <c r="AE513" s="194"/>
    </row>
    <row r="514">
      <c r="A514" s="194"/>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c r="AA514" s="194"/>
      <c r="AB514" s="194"/>
      <c r="AC514" s="194"/>
      <c r="AD514" s="194"/>
      <c r="AE514" s="194"/>
    </row>
    <row r="51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c r="AA515" s="194"/>
      <c r="AB515" s="194"/>
      <c r="AC515" s="194"/>
      <c r="AD515" s="194"/>
      <c r="AE515" s="194"/>
    </row>
    <row r="516">
      <c r="A516" s="194"/>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c r="AA516" s="194"/>
      <c r="AB516" s="194"/>
      <c r="AC516" s="194"/>
      <c r="AD516" s="194"/>
      <c r="AE516" s="194"/>
    </row>
    <row r="517">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c r="AA517" s="194"/>
      <c r="AB517" s="194"/>
      <c r="AC517" s="194"/>
      <c r="AD517" s="194"/>
      <c r="AE517" s="194"/>
    </row>
    <row r="518">
      <c r="A518" s="194"/>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c r="AA518" s="194"/>
      <c r="AB518" s="194"/>
      <c r="AC518" s="194"/>
      <c r="AD518" s="194"/>
      <c r="AE518" s="194"/>
    </row>
    <row r="519">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194"/>
      <c r="AC519" s="194"/>
      <c r="AD519" s="194"/>
      <c r="AE519" s="194"/>
    </row>
    <row r="520">
      <c r="A520" s="194"/>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c r="AA520" s="194"/>
      <c r="AB520" s="194"/>
      <c r="AC520" s="194"/>
      <c r="AD520" s="194"/>
      <c r="AE520" s="194"/>
    </row>
    <row r="521">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c r="AA521" s="194"/>
      <c r="AB521" s="194"/>
      <c r="AC521" s="194"/>
      <c r="AD521" s="194"/>
      <c r="AE521" s="194"/>
    </row>
    <row r="522">
      <c r="A522" s="194"/>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c r="AA522" s="194"/>
      <c r="AB522" s="194"/>
      <c r="AC522" s="194"/>
      <c r="AD522" s="194"/>
      <c r="AE522" s="194"/>
    </row>
    <row r="523">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c r="AA523" s="194"/>
      <c r="AB523" s="194"/>
      <c r="AC523" s="194"/>
      <c r="AD523" s="194"/>
      <c r="AE523" s="194"/>
    </row>
    <row r="524">
      <c r="A524" s="194"/>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c r="AA524" s="194"/>
      <c r="AB524" s="194"/>
      <c r="AC524" s="194"/>
      <c r="AD524" s="194"/>
      <c r="AE524" s="194"/>
    </row>
    <row r="5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c r="AC525" s="194"/>
      <c r="AD525" s="194"/>
      <c r="AE525" s="194"/>
    </row>
    <row r="526">
      <c r="A526" s="194"/>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c r="AA526" s="194"/>
      <c r="AB526" s="194"/>
      <c r="AC526" s="194"/>
      <c r="AD526" s="194"/>
      <c r="AE526" s="194"/>
    </row>
    <row r="527">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c r="AC527" s="194"/>
      <c r="AD527" s="194"/>
      <c r="AE527" s="194"/>
    </row>
    <row r="528">
      <c r="A528" s="194"/>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c r="AA528" s="194"/>
      <c r="AB528" s="194"/>
      <c r="AC528" s="194"/>
      <c r="AD528" s="194"/>
      <c r="AE528" s="194"/>
    </row>
    <row r="529">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c r="AC529" s="194"/>
      <c r="AD529" s="194"/>
      <c r="AE529" s="194"/>
    </row>
    <row r="530">
      <c r="A530" s="194"/>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c r="AA530" s="194"/>
      <c r="AB530" s="194"/>
      <c r="AC530" s="194"/>
      <c r="AD530" s="194"/>
      <c r="AE530" s="194"/>
    </row>
    <row r="531">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c r="AC531" s="194"/>
      <c r="AD531" s="194"/>
      <c r="AE531" s="194"/>
    </row>
    <row r="532">
      <c r="A532" s="194"/>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c r="AA532" s="194"/>
      <c r="AB532" s="194"/>
      <c r="AC532" s="194"/>
      <c r="AD532" s="194"/>
      <c r="AE532" s="194"/>
    </row>
    <row r="533">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c r="AA533" s="194"/>
      <c r="AB533" s="194"/>
      <c r="AC533" s="194"/>
      <c r="AD533" s="194"/>
      <c r="AE533" s="194"/>
    </row>
    <row r="534">
      <c r="A534" s="194"/>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c r="AA534" s="194"/>
      <c r="AB534" s="194"/>
      <c r="AC534" s="194"/>
      <c r="AD534" s="194"/>
      <c r="AE534" s="194"/>
    </row>
    <row r="53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c r="AA535" s="194"/>
      <c r="AB535" s="194"/>
      <c r="AC535" s="194"/>
      <c r="AD535" s="194"/>
      <c r="AE535" s="194"/>
    </row>
    <row r="536">
      <c r="A536" s="194"/>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c r="AA536" s="194"/>
      <c r="AB536" s="194"/>
      <c r="AC536" s="194"/>
      <c r="AD536" s="194"/>
      <c r="AE536" s="194"/>
    </row>
    <row r="537">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c r="AA537" s="194"/>
      <c r="AB537" s="194"/>
      <c r="AC537" s="194"/>
      <c r="AD537" s="194"/>
      <c r="AE537" s="194"/>
    </row>
    <row r="538">
      <c r="A538" s="194"/>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c r="AA538" s="194"/>
      <c r="AB538" s="194"/>
      <c r="AC538" s="194"/>
      <c r="AD538" s="194"/>
      <c r="AE538" s="194"/>
    </row>
    <row r="539">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c r="AA539" s="194"/>
      <c r="AB539" s="194"/>
      <c r="AC539" s="194"/>
      <c r="AD539" s="194"/>
      <c r="AE539" s="194"/>
    </row>
    <row r="540">
      <c r="A540" s="194"/>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c r="AA540" s="194"/>
      <c r="AB540" s="194"/>
      <c r="AC540" s="194"/>
      <c r="AD540" s="194"/>
      <c r="AE540" s="194"/>
    </row>
    <row r="541">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c r="AC541" s="194"/>
      <c r="AD541" s="194"/>
      <c r="AE541" s="194"/>
    </row>
    <row r="542">
      <c r="A542" s="194"/>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c r="AA542" s="194"/>
      <c r="AB542" s="194"/>
      <c r="AC542" s="194"/>
      <c r="AD542" s="194"/>
      <c r="AE542" s="194"/>
    </row>
    <row r="543">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c r="AC543" s="194"/>
      <c r="AD543" s="194"/>
      <c r="AE543" s="194"/>
    </row>
    <row r="544">
      <c r="A544" s="194"/>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c r="AA544" s="194"/>
      <c r="AB544" s="194"/>
      <c r="AC544" s="194"/>
      <c r="AD544" s="194"/>
      <c r="AE544" s="194"/>
    </row>
    <row r="54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c r="AC545" s="194"/>
      <c r="AD545" s="194"/>
      <c r="AE545" s="194"/>
    </row>
    <row r="546">
      <c r="A546" s="194"/>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c r="AA546" s="194"/>
      <c r="AB546" s="194"/>
      <c r="AC546" s="194"/>
      <c r="AD546" s="194"/>
      <c r="AE546" s="194"/>
    </row>
    <row r="547">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c r="AC547" s="194"/>
      <c r="AD547" s="194"/>
      <c r="AE547" s="194"/>
    </row>
    <row r="548">
      <c r="A548" s="194"/>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c r="AA548" s="194"/>
      <c r="AB548" s="194"/>
      <c r="AC548" s="194"/>
      <c r="AD548" s="194"/>
      <c r="AE548" s="194"/>
    </row>
    <row r="549">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c r="AA549" s="194"/>
      <c r="AB549" s="194"/>
      <c r="AC549" s="194"/>
      <c r="AD549" s="194"/>
      <c r="AE549" s="194"/>
    </row>
    <row r="550">
      <c r="A550" s="194"/>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c r="AA550" s="194"/>
      <c r="AB550" s="194"/>
      <c r="AC550" s="194"/>
      <c r="AD550" s="194"/>
      <c r="AE550" s="194"/>
    </row>
    <row r="551">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c r="AA551" s="194"/>
      <c r="AB551" s="194"/>
      <c r="AC551" s="194"/>
      <c r="AD551" s="194"/>
      <c r="AE551" s="194"/>
    </row>
    <row r="552">
      <c r="A552" s="194"/>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c r="AA552" s="194"/>
      <c r="AB552" s="194"/>
      <c r="AC552" s="194"/>
      <c r="AD552" s="194"/>
      <c r="AE552" s="194"/>
    </row>
    <row r="553">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c r="AC553" s="194"/>
      <c r="AD553" s="194"/>
      <c r="AE553" s="194"/>
    </row>
    <row r="554">
      <c r="A554" s="194"/>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c r="AA554" s="194"/>
      <c r="AB554" s="194"/>
      <c r="AC554" s="194"/>
      <c r="AD554" s="194"/>
      <c r="AE554" s="194"/>
    </row>
    <row r="55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c r="AC555" s="194"/>
      <c r="AD555" s="194"/>
      <c r="AE555" s="194"/>
    </row>
    <row r="556">
      <c r="A556" s="194"/>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c r="AA556" s="194"/>
      <c r="AB556" s="194"/>
      <c r="AC556" s="194"/>
      <c r="AD556" s="194"/>
      <c r="AE556" s="194"/>
    </row>
    <row r="557">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c r="AA557" s="194"/>
      <c r="AB557" s="194"/>
      <c r="AC557" s="194"/>
      <c r="AD557" s="194"/>
      <c r="AE557" s="194"/>
    </row>
    <row r="558">
      <c r="A558" s="194"/>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c r="AA558" s="194"/>
      <c r="AB558" s="194"/>
      <c r="AC558" s="194"/>
      <c r="AD558" s="194"/>
      <c r="AE558" s="194"/>
    </row>
    <row r="559">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c r="AA559" s="194"/>
      <c r="AB559" s="194"/>
      <c r="AC559" s="194"/>
      <c r="AD559" s="194"/>
      <c r="AE559" s="194"/>
    </row>
    <row r="560">
      <c r="A560" s="194"/>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c r="AA560" s="194"/>
      <c r="AB560" s="194"/>
      <c r="AC560" s="194"/>
      <c r="AD560" s="194"/>
      <c r="AE560" s="194"/>
    </row>
    <row r="561">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c r="AA561" s="194"/>
      <c r="AB561" s="194"/>
      <c r="AC561" s="194"/>
      <c r="AD561" s="194"/>
      <c r="AE561" s="194"/>
    </row>
    <row r="562">
      <c r="A562" s="194"/>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c r="AA562" s="194"/>
      <c r="AB562" s="194"/>
      <c r="AC562" s="194"/>
      <c r="AD562" s="194"/>
      <c r="AE562" s="194"/>
    </row>
    <row r="563">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c r="AA563" s="194"/>
      <c r="AB563" s="194"/>
      <c r="AC563" s="194"/>
      <c r="AD563" s="194"/>
      <c r="AE563" s="194"/>
    </row>
    <row r="564">
      <c r="A564" s="194"/>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c r="AA564" s="194"/>
      <c r="AB564" s="194"/>
      <c r="AC564" s="194"/>
      <c r="AD564" s="194"/>
      <c r="AE564" s="194"/>
    </row>
    <row r="56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c r="AA565" s="194"/>
      <c r="AB565" s="194"/>
      <c r="AC565" s="194"/>
      <c r="AD565" s="194"/>
      <c r="AE565" s="194"/>
    </row>
    <row r="566">
      <c r="A566" s="194"/>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c r="AA566" s="194"/>
      <c r="AB566" s="194"/>
      <c r="AC566" s="194"/>
      <c r="AD566" s="194"/>
      <c r="AE566" s="194"/>
    </row>
    <row r="567">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c r="AA567" s="194"/>
      <c r="AB567" s="194"/>
      <c r="AC567" s="194"/>
      <c r="AD567" s="194"/>
      <c r="AE567" s="194"/>
    </row>
    <row r="568">
      <c r="A568" s="194"/>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c r="AA568" s="194"/>
      <c r="AB568" s="194"/>
      <c r="AC568" s="194"/>
      <c r="AD568" s="194"/>
      <c r="AE568" s="194"/>
    </row>
    <row r="569">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c r="AA569" s="194"/>
      <c r="AB569" s="194"/>
      <c r="AC569" s="194"/>
      <c r="AD569" s="194"/>
      <c r="AE569" s="194"/>
    </row>
    <row r="570">
      <c r="A570" s="194"/>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c r="AA570" s="194"/>
      <c r="AB570" s="194"/>
      <c r="AC570" s="194"/>
      <c r="AD570" s="194"/>
      <c r="AE570" s="194"/>
    </row>
    <row r="571">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c r="AC571" s="194"/>
      <c r="AD571" s="194"/>
      <c r="AE571" s="194"/>
    </row>
    <row r="572">
      <c r="A572" s="194"/>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c r="AA572" s="194"/>
      <c r="AB572" s="194"/>
      <c r="AC572" s="194"/>
      <c r="AD572" s="194"/>
      <c r="AE572" s="194"/>
    </row>
    <row r="573">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c r="AA573" s="194"/>
      <c r="AB573" s="194"/>
      <c r="AC573" s="194"/>
      <c r="AD573" s="194"/>
      <c r="AE573" s="194"/>
    </row>
    <row r="574">
      <c r="A574" s="194"/>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c r="AA574" s="194"/>
      <c r="AB574" s="194"/>
      <c r="AC574" s="194"/>
      <c r="AD574" s="194"/>
      <c r="AE574" s="194"/>
    </row>
    <row r="57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c r="AA575" s="194"/>
      <c r="AB575" s="194"/>
      <c r="AC575" s="194"/>
      <c r="AD575" s="194"/>
      <c r="AE575" s="194"/>
    </row>
    <row r="576">
      <c r="A576" s="194"/>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c r="AA576" s="194"/>
      <c r="AB576" s="194"/>
      <c r="AC576" s="194"/>
      <c r="AD576" s="194"/>
      <c r="AE576" s="194"/>
    </row>
    <row r="577">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c r="AA577" s="194"/>
      <c r="AB577" s="194"/>
      <c r="AC577" s="194"/>
      <c r="AD577" s="194"/>
      <c r="AE577" s="194"/>
    </row>
    <row r="578">
      <c r="A578" s="194"/>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c r="AA578" s="194"/>
      <c r="AB578" s="194"/>
      <c r="AC578" s="194"/>
      <c r="AD578" s="194"/>
      <c r="AE578" s="194"/>
    </row>
    <row r="579">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c r="AA579" s="194"/>
      <c r="AB579" s="194"/>
      <c r="AC579" s="194"/>
      <c r="AD579" s="194"/>
      <c r="AE579" s="194"/>
    </row>
    <row r="580">
      <c r="A580" s="194"/>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c r="AA580" s="194"/>
      <c r="AB580" s="194"/>
      <c r="AC580" s="194"/>
      <c r="AD580" s="194"/>
      <c r="AE580" s="194"/>
    </row>
    <row r="581">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c r="AA581" s="194"/>
      <c r="AB581" s="194"/>
      <c r="AC581" s="194"/>
      <c r="AD581" s="194"/>
      <c r="AE581" s="194"/>
    </row>
    <row r="582">
      <c r="A582" s="194"/>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c r="AA582" s="194"/>
      <c r="AB582" s="194"/>
      <c r="AC582" s="194"/>
      <c r="AD582" s="194"/>
      <c r="AE582" s="194"/>
    </row>
    <row r="583">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194"/>
      <c r="AC583" s="194"/>
      <c r="AD583" s="194"/>
      <c r="AE583" s="194"/>
    </row>
    <row r="584">
      <c r="A584" s="194"/>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c r="AA584" s="194"/>
      <c r="AB584" s="194"/>
      <c r="AC584" s="194"/>
      <c r="AD584" s="194"/>
      <c r="AE584" s="194"/>
    </row>
    <row r="58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c r="AA585" s="194"/>
      <c r="AB585" s="194"/>
      <c r="AC585" s="194"/>
      <c r="AD585" s="194"/>
      <c r="AE585" s="194"/>
    </row>
    <row r="586">
      <c r="A586" s="194"/>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c r="AA586" s="194"/>
      <c r="AB586" s="194"/>
      <c r="AC586" s="194"/>
      <c r="AD586" s="194"/>
      <c r="AE586" s="194"/>
    </row>
    <row r="587">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c r="AA587" s="194"/>
      <c r="AB587" s="194"/>
      <c r="AC587" s="194"/>
      <c r="AD587" s="194"/>
      <c r="AE587" s="194"/>
    </row>
    <row r="588">
      <c r="A588" s="194"/>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c r="AA588" s="194"/>
      <c r="AB588" s="194"/>
      <c r="AC588" s="194"/>
      <c r="AD588" s="194"/>
      <c r="AE588" s="194"/>
    </row>
    <row r="589">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c r="AA589" s="194"/>
      <c r="AB589" s="194"/>
      <c r="AC589" s="194"/>
      <c r="AD589" s="194"/>
      <c r="AE589" s="194"/>
    </row>
    <row r="590">
      <c r="A590" s="194"/>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c r="AA590" s="194"/>
      <c r="AB590" s="194"/>
      <c r="AC590" s="194"/>
      <c r="AD590" s="194"/>
      <c r="AE590" s="194"/>
    </row>
    <row r="591">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c r="AC591" s="194"/>
      <c r="AD591" s="194"/>
      <c r="AE591" s="194"/>
    </row>
    <row r="592">
      <c r="A592" s="194"/>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c r="AA592" s="194"/>
      <c r="AB592" s="194"/>
      <c r="AC592" s="194"/>
      <c r="AD592" s="194"/>
      <c r="AE592" s="194"/>
    </row>
    <row r="593">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c r="AC593" s="194"/>
      <c r="AD593" s="194"/>
      <c r="AE593" s="194"/>
    </row>
    <row r="594">
      <c r="A594" s="194"/>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c r="AD594" s="194"/>
      <c r="AE594" s="194"/>
    </row>
    <row r="59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c r="AC595" s="194"/>
      <c r="AD595" s="194"/>
      <c r="AE595" s="194"/>
    </row>
    <row r="596">
      <c r="A596" s="194"/>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c r="AA596" s="194"/>
      <c r="AB596" s="194"/>
      <c r="AC596" s="194"/>
      <c r="AD596" s="194"/>
      <c r="AE596" s="194"/>
    </row>
    <row r="597">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c r="AC597" s="194"/>
      <c r="AD597" s="194"/>
      <c r="AE597" s="194"/>
    </row>
    <row r="598">
      <c r="A598" s="194"/>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c r="AA598" s="194"/>
      <c r="AB598" s="194"/>
      <c r="AC598" s="194"/>
      <c r="AD598" s="194"/>
      <c r="AE598" s="194"/>
    </row>
    <row r="599">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c r="AC599" s="194"/>
      <c r="AD599" s="194"/>
      <c r="AE599" s="194"/>
    </row>
    <row r="600">
      <c r="A600" s="194"/>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c r="AA600" s="194"/>
      <c r="AB600" s="194"/>
      <c r="AC600" s="194"/>
      <c r="AD600" s="194"/>
      <c r="AE600" s="194"/>
    </row>
    <row r="601">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c r="AC601" s="194"/>
      <c r="AD601" s="194"/>
      <c r="AE601" s="194"/>
    </row>
    <row r="602">
      <c r="A602" s="194"/>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c r="AA602" s="194"/>
      <c r="AB602" s="194"/>
      <c r="AC602" s="194"/>
      <c r="AD602" s="194"/>
      <c r="AE602" s="194"/>
    </row>
    <row r="603">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c r="AC603" s="194"/>
      <c r="AD603" s="194"/>
      <c r="AE603" s="194"/>
    </row>
    <row r="604">
      <c r="A604" s="194"/>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c r="AA604" s="194"/>
      <c r="AB604" s="194"/>
      <c r="AC604" s="194"/>
      <c r="AD604" s="194"/>
      <c r="AE604" s="194"/>
    </row>
    <row r="60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c r="AC605" s="194"/>
      <c r="AD605" s="194"/>
      <c r="AE605" s="194"/>
    </row>
    <row r="606">
      <c r="A606" s="194"/>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c r="AA606" s="194"/>
      <c r="AB606" s="194"/>
      <c r="AC606" s="194"/>
      <c r="AD606" s="194"/>
      <c r="AE606" s="194"/>
    </row>
    <row r="607">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c r="AC607" s="194"/>
      <c r="AD607" s="194"/>
      <c r="AE607" s="194"/>
    </row>
    <row r="608">
      <c r="A608" s="194"/>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c r="AA608" s="194"/>
      <c r="AB608" s="194"/>
      <c r="AC608" s="194"/>
      <c r="AD608" s="194"/>
      <c r="AE608" s="194"/>
    </row>
    <row r="609">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c r="AC609" s="194"/>
      <c r="AD609" s="194"/>
      <c r="AE609" s="194"/>
    </row>
    <row r="610">
      <c r="A610" s="194"/>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c r="AA610" s="194"/>
      <c r="AB610" s="194"/>
      <c r="AC610" s="194"/>
      <c r="AD610" s="194"/>
      <c r="AE610" s="194"/>
    </row>
    <row r="611">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c r="AC611" s="194"/>
      <c r="AD611" s="194"/>
      <c r="AE611" s="194"/>
    </row>
    <row r="612">
      <c r="A612" s="194"/>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c r="AA612" s="194"/>
      <c r="AB612" s="194"/>
      <c r="AC612" s="194"/>
      <c r="AD612" s="194"/>
      <c r="AE612" s="194"/>
    </row>
    <row r="613">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c r="AC613" s="194"/>
      <c r="AD613" s="194"/>
      <c r="AE613" s="194"/>
    </row>
    <row r="614">
      <c r="A614" s="194"/>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c r="AA614" s="194"/>
      <c r="AB614" s="194"/>
      <c r="AC614" s="194"/>
      <c r="AD614" s="194"/>
      <c r="AE614" s="194"/>
    </row>
    <row r="61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c r="AC615" s="194"/>
      <c r="AD615" s="194"/>
      <c r="AE615" s="194"/>
    </row>
    <row r="616">
      <c r="A616" s="194"/>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c r="AA616" s="194"/>
      <c r="AB616" s="194"/>
      <c r="AC616" s="194"/>
      <c r="AD616" s="194"/>
      <c r="AE616" s="194"/>
    </row>
    <row r="617">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c r="AC617" s="194"/>
      <c r="AD617" s="194"/>
      <c r="AE617" s="194"/>
    </row>
    <row r="618">
      <c r="A618" s="194"/>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c r="AD618" s="194"/>
      <c r="AE618" s="194"/>
    </row>
    <row r="619">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c r="AC619" s="194"/>
      <c r="AD619" s="194"/>
      <c r="AE619" s="194"/>
    </row>
    <row r="620">
      <c r="A620" s="194"/>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c r="AA620" s="194"/>
      <c r="AB620" s="194"/>
      <c r="AC620" s="194"/>
      <c r="AD620" s="194"/>
      <c r="AE620" s="194"/>
    </row>
    <row r="621">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c r="AC621" s="194"/>
      <c r="AD621" s="194"/>
      <c r="AE621" s="194"/>
    </row>
    <row r="622">
      <c r="A622" s="194"/>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c r="AA622" s="194"/>
      <c r="AB622" s="194"/>
      <c r="AC622" s="194"/>
      <c r="AD622" s="194"/>
      <c r="AE622" s="194"/>
    </row>
    <row r="623">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c r="AC623" s="194"/>
      <c r="AD623" s="194"/>
      <c r="AE623" s="194"/>
    </row>
    <row r="624">
      <c r="A624" s="194"/>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c r="AA624" s="194"/>
      <c r="AB624" s="194"/>
      <c r="AC624" s="194"/>
      <c r="AD624" s="194"/>
      <c r="AE624" s="194"/>
    </row>
    <row r="6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c r="AC625" s="194"/>
      <c r="AD625" s="194"/>
      <c r="AE625" s="194"/>
    </row>
    <row r="626">
      <c r="A626" s="194"/>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c r="AA626" s="194"/>
      <c r="AB626" s="194"/>
      <c r="AC626" s="194"/>
      <c r="AD626" s="194"/>
      <c r="AE626" s="194"/>
    </row>
    <row r="627">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c r="AC627" s="194"/>
      <c r="AD627" s="194"/>
      <c r="AE627" s="194"/>
    </row>
    <row r="628">
      <c r="A628" s="194"/>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c r="AA628" s="194"/>
      <c r="AB628" s="194"/>
      <c r="AC628" s="194"/>
      <c r="AD628" s="194"/>
      <c r="AE628" s="194"/>
    </row>
    <row r="629">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c r="AC629" s="194"/>
      <c r="AD629" s="194"/>
      <c r="AE629" s="194"/>
    </row>
    <row r="630">
      <c r="A630" s="194"/>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c r="AA630" s="194"/>
      <c r="AB630" s="194"/>
      <c r="AC630" s="194"/>
      <c r="AD630" s="194"/>
      <c r="AE630" s="194"/>
    </row>
    <row r="631">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c r="AC631" s="194"/>
      <c r="AD631" s="194"/>
      <c r="AE631" s="194"/>
    </row>
    <row r="632">
      <c r="A632" s="194"/>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c r="AA632" s="194"/>
      <c r="AB632" s="194"/>
      <c r="AC632" s="194"/>
      <c r="AD632" s="194"/>
      <c r="AE632" s="194"/>
    </row>
    <row r="633">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c r="AC633" s="194"/>
      <c r="AD633" s="194"/>
      <c r="AE633" s="194"/>
    </row>
    <row r="634">
      <c r="A634" s="194"/>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c r="AA634" s="194"/>
      <c r="AB634" s="194"/>
      <c r="AC634" s="194"/>
      <c r="AD634" s="194"/>
      <c r="AE634" s="194"/>
    </row>
    <row r="63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c r="AC635" s="194"/>
      <c r="AD635" s="194"/>
      <c r="AE635" s="194"/>
    </row>
    <row r="636">
      <c r="A636" s="194"/>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c r="AA636" s="194"/>
      <c r="AB636" s="194"/>
      <c r="AC636" s="194"/>
      <c r="AD636" s="194"/>
      <c r="AE636" s="194"/>
    </row>
    <row r="637">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c r="AC637" s="194"/>
      <c r="AD637" s="194"/>
      <c r="AE637" s="194"/>
    </row>
    <row r="638">
      <c r="A638" s="194"/>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c r="AA638" s="194"/>
      <c r="AB638" s="194"/>
      <c r="AC638" s="194"/>
      <c r="AD638" s="194"/>
      <c r="AE638" s="194"/>
    </row>
    <row r="639">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c r="AC639" s="194"/>
      <c r="AD639" s="194"/>
      <c r="AE639" s="194"/>
    </row>
    <row r="640">
      <c r="A640" s="194"/>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c r="AA640" s="194"/>
      <c r="AB640" s="194"/>
      <c r="AC640" s="194"/>
      <c r="AD640" s="194"/>
      <c r="AE640" s="194"/>
    </row>
    <row r="641">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c r="AC641" s="194"/>
      <c r="AD641" s="194"/>
      <c r="AE641" s="194"/>
    </row>
    <row r="642">
      <c r="A642" s="194"/>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c r="AA642" s="194"/>
      <c r="AB642" s="194"/>
      <c r="AC642" s="194"/>
      <c r="AD642" s="194"/>
      <c r="AE642" s="194"/>
    </row>
    <row r="643">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c r="AC643" s="194"/>
      <c r="AD643" s="194"/>
      <c r="AE643" s="194"/>
    </row>
    <row r="644">
      <c r="A644" s="194"/>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c r="AA644" s="194"/>
      <c r="AB644" s="194"/>
      <c r="AC644" s="194"/>
      <c r="AD644" s="194"/>
      <c r="AE644" s="194"/>
    </row>
    <row r="64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c r="AC645" s="194"/>
      <c r="AD645" s="194"/>
      <c r="AE645" s="194"/>
    </row>
    <row r="646">
      <c r="A646" s="194"/>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c r="AA646" s="194"/>
      <c r="AB646" s="194"/>
      <c r="AC646" s="194"/>
      <c r="AD646" s="194"/>
      <c r="AE646" s="194"/>
    </row>
    <row r="647">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c r="AC647" s="194"/>
      <c r="AD647" s="194"/>
      <c r="AE647" s="194"/>
    </row>
    <row r="648">
      <c r="A648" s="194"/>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c r="AA648" s="194"/>
      <c r="AB648" s="194"/>
      <c r="AC648" s="194"/>
      <c r="AD648" s="194"/>
      <c r="AE648" s="194"/>
    </row>
    <row r="649">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c r="AC649" s="194"/>
      <c r="AD649" s="194"/>
      <c r="AE649" s="194"/>
    </row>
    <row r="650">
      <c r="A650" s="194"/>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c r="AA650" s="194"/>
      <c r="AB650" s="194"/>
      <c r="AC650" s="194"/>
      <c r="AD650" s="194"/>
      <c r="AE650" s="194"/>
    </row>
    <row r="651">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c r="AC651" s="194"/>
      <c r="AD651" s="194"/>
      <c r="AE651" s="194"/>
    </row>
    <row r="652">
      <c r="A652" s="194"/>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c r="AA652" s="194"/>
      <c r="AB652" s="194"/>
      <c r="AC652" s="194"/>
      <c r="AD652" s="194"/>
      <c r="AE652" s="194"/>
    </row>
    <row r="653">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c r="AC653" s="194"/>
      <c r="AD653" s="194"/>
      <c r="AE653" s="194"/>
    </row>
    <row r="654">
      <c r="A654" s="194"/>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c r="AA654" s="194"/>
      <c r="AB654" s="194"/>
      <c r="AC654" s="194"/>
      <c r="AD654" s="194"/>
      <c r="AE654" s="194"/>
    </row>
    <row r="65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c r="AC655" s="194"/>
      <c r="AD655" s="194"/>
      <c r="AE655" s="194"/>
    </row>
    <row r="656">
      <c r="A656" s="194"/>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c r="AA656" s="194"/>
      <c r="AB656" s="194"/>
      <c r="AC656" s="194"/>
      <c r="AD656" s="194"/>
      <c r="AE656" s="194"/>
    </row>
    <row r="657">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c r="AC657" s="194"/>
      <c r="AD657" s="194"/>
      <c r="AE657" s="194"/>
    </row>
    <row r="658">
      <c r="A658" s="194"/>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c r="AA658" s="194"/>
      <c r="AB658" s="194"/>
      <c r="AC658" s="194"/>
      <c r="AD658" s="194"/>
      <c r="AE658" s="194"/>
    </row>
    <row r="659">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c r="AC659" s="194"/>
      <c r="AD659" s="194"/>
      <c r="AE659" s="194"/>
    </row>
    <row r="660">
      <c r="A660" s="194"/>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c r="AA660" s="194"/>
      <c r="AB660" s="194"/>
      <c r="AC660" s="194"/>
      <c r="AD660" s="194"/>
      <c r="AE660" s="194"/>
    </row>
    <row r="661">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c r="AC661" s="194"/>
      <c r="AD661" s="194"/>
      <c r="AE661" s="194"/>
    </row>
    <row r="662">
      <c r="A662" s="194"/>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c r="AA662" s="194"/>
      <c r="AB662" s="194"/>
      <c r="AC662" s="194"/>
      <c r="AD662" s="194"/>
      <c r="AE662" s="194"/>
    </row>
    <row r="663">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c r="AC663" s="194"/>
      <c r="AD663" s="194"/>
      <c r="AE663" s="194"/>
    </row>
    <row r="664">
      <c r="A664" s="194"/>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c r="AA664" s="194"/>
      <c r="AB664" s="194"/>
      <c r="AC664" s="194"/>
      <c r="AD664" s="194"/>
      <c r="AE664" s="194"/>
    </row>
    <row r="66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c r="AC665" s="194"/>
      <c r="AD665" s="194"/>
      <c r="AE665" s="194"/>
    </row>
    <row r="666">
      <c r="A666" s="194"/>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c r="AA666" s="194"/>
      <c r="AB666" s="194"/>
      <c r="AC666" s="194"/>
      <c r="AD666" s="194"/>
      <c r="AE666" s="194"/>
    </row>
    <row r="667">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c r="AC667" s="194"/>
      <c r="AD667" s="194"/>
      <c r="AE667" s="194"/>
    </row>
    <row r="668">
      <c r="A668" s="194"/>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c r="AA668" s="194"/>
      <c r="AB668" s="194"/>
      <c r="AC668" s="194"/>
      <c r="AD668" s="194"/>
      <c r="AE668" s="194"/>
    </row>
    <row r="669">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c r="AC669" s="194"/>
      <c r="AD669" s="194"/>
      <c r="AE669" s="194"/>
    </row>
    <row r="670">
      <c r="A670" s="194"/>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c r="AA670" s="194"/>
      <c r="AB670" s="194"/>
      <c r="AC670" s="194"/>
      <c r="AD670" s="194"/>
      <c r="AE670" s="194"/>
    </row>
    <row r="671">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c r="AC671" s="194"/>
      <c r="AD671" s="194"/>
      <c r="AE671" s="194"/>
    </row>
    <row r="672">
      <c r="A672" s="194"/>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c r="AA672" s="194"/>
      <c r="AB672" s="194"/>
      <c r="AC672" s="194"/>
      <c r="AD672" s="194"/>
      <c r="AE672" s="194"/>
    </row>
    <row r="673">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c r="AC673" s="194"/>
      <c r="AD673" s="194"/>
      <c r="AE673" s="194"/>
    </row>
    <row r="674">
      <c r="A674" s="194"/>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c r="AA674" s="194"/>
      <c r="AB674" s="194"/>
      <c r="AC674" s="194"/>
      <c r="AD674" s="194"/>
      <c r="AE674" s="194"/>
    </row>
    <row r="67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c r="AC675" s="194"/>
      <c r="AD675" s="194"/>
      <c r="AE675" s="194"/>
    </row>
    <row r="676">
      <c r="A676" s="194"/>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c r="AA676" s="194"/>
      <c r="AB676" s="194"/>
      <c r="AC676" s="194"/>
      <c r="AD676" s="194"/>
      <c r="AE676" s="194"/>
    </row>
    <row r="677">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c r="AC677" s="194"/>
      <c r="AD677" s="194"/>
      <c r="AE677" s="194"/>
    </row>
    <row r="678">
      <c r="A678" s="194"/>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c r="AA678" s="194"/>
      <c r="AB678" s="194"/>
      <c r="AC678" s="194"/>
      <c r="AD678" s="194"/>
      <c r="AE678" s="194"/>
    </row>
    <row r="679">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c r="AC679" s="194"/>
      <c r="AD679" s="194"/>
      <c r="AE679" s="194"/>
    </row>
    <row r="680">
      <c r="A680" s="194"/>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c r="AA680" s="194"/>
      <c r="AB680" s="194"/>
      <c r="AC680" s="194"/>
      <c r="AD680" s="194"/>
      <c r="AE680" s="194"/>
    </row>
    <row r="681">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c r="AC681" s="194"/>
      <c r="AD681" s="194"/>
      <c r="AE681" s="194"/>
    </row>
    <row r="682">
      <c r="A682" s="194"/>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c r="AA682" s="194"/>
      <c r="AB682" s="194"/>
      <c r="AC682" s="194"/>
      <c r="AD682" s="194"/>
      <c r="AE682" s="194"/>
    </row>
    <row r="683">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c r="AC683" s="194"/>
      <c r="AD683" s="194"/>
      <c r="AE683" s="194"/>
    </row>
    <row r="684">
      <c r="A684" s="194"/>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c r="AA684" s="194"/>
      <c r="AB684" s="194"/>
      <c r="AC684" s="194"/>
      <c r="AD684" s="194"/>
      <c r="AE684" s="194"/>
    </row>
    <row r="68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c r="AC685" s="194"/>
      <c r="AD685" s="194"/>
      <c r="AE685" s="194"/>
    </row>
    <row r="686">
      <c r="A686" s="194"/>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c r="AA686" s="194"/>
      <c r="AB686" s="194"/>
      <c r="AC686" s="194"/>
      <c r="AD686" s="194"/>
      <c r="AE686" s="194"/>
    </row>
    <row r="687">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c r="AC687" s="194"/>
      <c r="AD687" s="194"/>
      <c r="AE687" s="194"/>
    </row>
    <row r="688">
      <c r="A688" s="194"/>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c r="AA688" s="194"/>
      <c r="AB688" s="194"/>
      <c r="AC688" s="194"/>
      <c r="AD688" s="194"/>
      <c r="AE688" s="194"/>
    </row>
    <row r="689">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c r="AC689" s="194"/>
      <c r="AD689" s="194"/>
      <c r="AE689" s="194"/>
    </row>
    <row r="690">
      <c r="A690" s="194"/>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c r="AA690" s="194"/>
      <c r="AB690" s="194"/>
      <c r="AC690" s="194"/>
      <c r="AD690" s="194"/>
      <c r="AE690" s="194"/>
    </row>
    <row r="691">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c r="AC691" s="194"/>
      <c r="AD691" s="194"/>
      <c r="AE691" s="194"/>
    </row>
    <row r="692">
      <c r="A692" s="194"/>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c r="AA692" s="194"/>
      <c r="AB692" s="194"/>
      <c r="AC692" s="194"/>
      <c r="AD692" s="194"/>
      <c r="AE692" s="194"/>
    </row>
    <row r="693">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c r="AC693" s="194"/>
      <c r="AD693" s="194"/>
      <c r="AE693" s="194"/>
    </row>
    <row r="694">
      <c r="A694" s="194"/>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c r="AA694" s="194"/>
      <c r="AB694" s="194"/>
      <c r="AC694" s="194"/>
      <c r="AD694" s="194"/>
      <c r="AE694" s="194"/>
    </row>
    <row r="69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c r="AC695" s="194"/>
      <c r="AD695" s="194"/>
      <c r="AE695" s="194"/>
    </row>
    <row r="696">
      <c r="A696" s="194"/>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c r="AA696" s="194"/>
      <c r="AB696" s="194"/>
      <c r="AC696" s="194"/>
      <c r="AD696" s="194"/>
      <c r="AE696" s="194"/>
    </row>
    <row r="697">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c r="AC697" s="194"/>
      <c r="AD697" s="194"/>
      <c r="AE697" s="194"/>
    </row>
    <row r="698">
      <c r="A698" s="194"/>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c r="AA698" s="194"/>
      <c r="AB698" s="194"/>
      <c r="AC698" s="194"/>
      <c r="AD698" s="194"/>
      <c r="AE698" s="194"/>
    </row>
    <row r="699">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c r="AC699" s="194"/>
      <c r="AD699" s="194"/>
      <c r="AE699" s="194"/>
    </row>
    <row r="700">
      <c r="A700" s="194"/>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c r="AA700" s="194"/>
      <c r="AB700" s="194"/>
      <c r="AC700" s="194"/>
      <c r="AD700" s="194"/>
      <c r="AE700" s="194"/>
    </row>
    <row r="701">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c r="AC701" s="194"/>
      <c r="AD701" s="194"/>
      <c r="AE701" s="194"/>
    </row>
    <row r="702">
      <c r="A702" s="194"/>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c r="AA702" s="194"/>
      <c r="AB702" s="194"/>
      <c r="AC702" s="194"/>
      <c r="AD702" s="194"/>
      <c r="AE702" s="194"/>
    </row>
    <row r="703">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c r="AC703" s="194"/>
      <c r="AD703" s="194"/>
      <c r="AE703" s="194"/>
    </row>
    <row r="704">
      <c r="A704" s="194"/>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c r="AA704" s="194"/>
      <c r="AB704" s="194"/>
      <c r="AC704" s="194"/>
      <c r="AD704" s="194"/>
      <c r="AE704" s="194"/>
    </row>
    <row r="70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c r="AC705" s="194"/>
      <c r="AD705" s="194"/>
      <c r="AE705" s="194"/>
    </row>
    <row r="706">
      <c r="A706" s="194"/>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c r="AA706" s="194"/>
      <c r="AB706" s="194"/>
      <c r="AC706" s="194"/>
      <c r="AD706" s="194"/>
      <c r="AE706" s="194"/>
    </row>
    <row r="707">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c r="AC707" s="194"/>
      <c r="AD707" s="194"/>
      <c r="AE707" s="194"/>
    </row>
    <row r="708">
      <c r="A708" s="194"/>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c r="AA708" s="194"/>
      <c r="AB708" s="194"/>
      <c r="AC708" s="194"/>
      <c r="AD708" s="194"/>
      <c r="AE708" s="194"/>
    </row>
    <row r="709">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c r="AC709" s="194"/>
      <c r="AD709" s="194"/>
      <c r="AE709" s="194"/>
    </row>
    <row r="710">
      <c r="A710" s="194"/>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c r="AA710" s="194"/>
      <c r="AB710" s="194"/>
      <c r="AC710" s="194"/>
      <c r="AD710" s="194"/>
      <c r="AE710" s="194"/>
    </row>
    <row r="711">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c r="AC711" s="194"/>
      <c r="AD711" s="194"/>
      <c r="AE711" s="194"/>
    </row>
    <row r="712">
      <c r="A712" s="194"/>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c r="AA712" s="194"/>
      <c r="AB712" s="194"/>
      <c r="AC712" s="194"/>
      <c r="AD712" s="194"/>
      <c r="AE712" s="194"/>
    </row>
    <row r="713">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c r="AC713" s="194"/>
      <c r="AD713" s="194"/>
      <c r="AE713" s="194"/>
    </row>
    <row r="714">
      <c r="A714" s="194"/>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c r="AA714" s="194"/>
      <c r="AB714" s="194"/>
      <c r="AC714" s="194"/>
      <c r="AD714" s="194"/>
      <c r="AE714" s="194"/>
    </row>
    <row r="71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c r="AC715" s="194"/>
      <c r="AD715" s="194"/>
      <c r="AE715" s="194"/>
    </row>
    <row r="716">
      <c r="A716" s="194"/>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c r="AA716" s="194"/>
      <c r="AB716" s="194"/>
      <c r="AC716" s="194"/>
      <c r="AD716" s="194"/>
      <c r="AE716" s="194"/>
    </row>
    <row r="717">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c r="AC717" s="194"/>
      <c r="AD717" s="194"/>
      <c r="AE717" s="194"/>
    </row>
    <row r="718">
      <c r="A718" s="194"/>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c r="AA718" s="194"/>
      <c r="AB718" s="194"/>
      <c r="AC718" s="194"/>
      <c r="AD718" s="194"/>
      <c r="AE718" s="194"/>
    </row>
    <row r="719">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c r="AC719" s="194"/>
      <c r="AD719" s="194"/>
      <c r="AE719" s="194"/>
    </row>
    <row r="720">
      <c r="A720" s="194"/>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c r="AA720" s="194"/>
      <c r="AB720" s="194"/>
      <c r="AC720" s="194"/>
      <c r="AD720" s="194"/>
      <c r="AE720" s="194"/>
    </row>
    <row r="721">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c r="AC721" s="194"/>
      <c r="AD721" s="194"/>
      <c r="AE721" s="194"/>
    </row>
    <row r="722">
      <c r="A722" s="194"/>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c r="AA722" s="194"/>
      <c r="AB722" s="194"/>
      <c r="AC722" s="194"/>
      <c r="AD722" s="194"/>
      <c r="AE722" s="194"/>
    </row>
    <row r="723">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c r="AC723" s="194"/>
      <c r="AD723" s="194"/>
      <c r="AE723" s="194"/>
    </row>
    <row r="724">
      <c r="A724" s="194"/>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c r="AA724" s="194"/>
      <c r="AB724" s="194"/>
      <c r="AC724" s="194"/>
      <c r="AD724" s="194"/>
      <c r="AE724" s="194"/>
    </row>
    <row r="7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c r="AC725" s="194"/>
      <c r="AD725" s="194"/>
      <c r="AE725" s="194"/>
    </row>
    <row r="726">
      <c r="A726" s="194"/>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c r="AA726" s="194"/>
      <c r="AB726" s="194"/>
      <c r="AC726" s="194"/>
      <c r="AD726" s="194"/>
      <c r="AE726" s="194"/>
    </row>
    <row r="727">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c r="AC727" s="194"/>
      <c r="AD727" s="194"/>
      <c r="AE727" s="194"/>
    </row>
    <row r="728">
      <c r="A728" s="194"/>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c r="AA728" s="194"/>
      <c r="AB728" s="194"/>
      <c r="AC728" s="194"/>
      <c r="AD728" s="194"/>
      <c r="AE728" s="194"/>
    </row>
    <row r="729">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c r="AC729" s="194"/>
      <c r="AD729" s="194"/>
      <c r="AE729" s="194"/>
    </row>
    <row r="730">
      <c r="A730" s="194"/>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c r="AA730" s="194"/>
      <c r="AB730" s="194"/>
      <c r="AC730" s="194"/>
      <c r="AD730" s="194"/>
      <c r="AE730" s="194"/>
    </row>
    <row r="731">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c r="AC731" s="194"/>
      <c r="AD731" s="194"/>
      <c r="AE731" s="194"/>
    </row>
    <row r="732">
      <c r="A732" s="194"/>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c r="AA732" s="194"/>
      <c r="AB732" s="194"/>
      <c r="AC732" s="194"/>
      <c r="AD732" s="194"/>
      <c r="AE732" s="194"/>
    </row>
    <row r="733">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c r="AC733" s="194"/>
      <c r="AD733" s="194"/>
      <c r="AE733" s="194"/>
    </row>
    <row r="734">
      <c r="A734" s="194"/>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c r="AA734" s="194"/>
      <c r="AB734" s="194"/>
      <c r="AC734" s="194"/>
      <c r="AD734" s="194"/>
      <c r="AE734" s="194"/>
    </row>
    <row r="73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c r="AC735" s="194"/>
      <c r="AD735" s="194"/>
      <c r="AE735" s="194"/>
    </row>
    <row r="736">
      <c r="A736" s="194"/>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c r="AA736" s="194"/>
      <c r="AB736" s="194"/>
      <c r="AC736" s="194"/>
      <c r="AD736" s="194"/>
      <c r="AE736" s="194"/>
    </row>
    <row r="737">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c r="AC737" s="194"/>
      <c r="AD737" s="194"/>
      <c r="AE737" s="194"/>
    </row>
    <row r="738">
      <c r="A738" s="194"/>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c r="AA738" s="194"/>
      <c r="AB738" s="194"/>
      <c r="AC738" s="194"/>
      <c r="AD738" s="194"/>
      <c r="AE738" s="194"/>
    </row>
    <row r="739">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c r="AC739" s="194"/>
      <c r="AD739" s="194"/>
      <c r="AE739" s="194"/>
    </row>
    <row r="740">
      <c r="A740" s="194"/>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c r="AA740" s="194"/>
      <c r="AB740" s="194"/>
      <c r="AC740" s="194"/>
      <c r="AD740" s="194"/>
      <c r="AE740" s="194"/>
    </row>
    <row r="741">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c r="AC741" s="194"/>
      <c r="AD741" s="194"/>
      <c r="AE741" s="194"/>
    </row>
    <row r="742">
      <c r="A742" s="194"/>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c r="AA742" s="194"/>
      <c r="AB742" s="194"/>
      <c r="AC742" s="194"/>
      <c r="AD742" s="194"/>
      <c r="AE742" s="194"/>
    </row>
    <row r="743">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c r="AC743" s="194"/>
      <c r="AD743" s="194"/>
      <c r="AE743" s="194"/>
    </row>
    <row r="744">
      <c r="A744" s="194"/>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c r="AA744" s="194"/>
      <c r="AB744" s="194"/>
      <c r="AC744" s="194"/>
      <c r="AD744" s="194"/>
      <c r="AE744" s="194"/>
    </row>
    <row r="74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c r="AC745" s="194"/>
      <c r="AD745" s="194"/>
      <c r="AE745" s="194"/>
    </row>
    <row r="746">
      <c r="A746" s="194"/>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c r="AA746" s="194"/>
      <c r="AB746" s="194"/>
      <c r="AC746" s="194"/>
      <c r="AD746" s="194"/>
      <c r="AE746" s="194"/>
    </row>
    <row r="747">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c r="AC747" s="194"/>
      <c r="AD747" s="194"/>
      <c r="AE747" s="194"/>
    </row>
    <row r="748">
      <c r="A748" s="194"/>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c r="AA748" s="194"/>
      <c r="AB748" s="194"/>
      <c r="AC748" s="194"/>
      <c r="AD748" s="194"/>
      <c r="AE748" s="194"/>
    </row>
    <row r="749">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c r="AC749" s="194"/>
      <c r="AD749" s="194"/>
      <c r="AE749" s="194"/>
    </row>
    <row r="750">
      <c r="A750" s="194"/>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c r="AA750" s="194"/>
      <c r="AB750" s="194"/>
      <c r="AC750" s="194"/>
      <c r="AD750" s="194"/>
      <c r="AE750" s="194"/>
    </row>
    <row r="751">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c r="AC751" s="194"/>
      <c r="AD751" s="194"/>
      <c r="AE751" s="194"/>
    </row>
    <row r="752">
      <c r="A752" s="194"/>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c r="AA752" s="194"/>
      <c r="AB752" s="194"/>
      <c r="AC752" s="194"/>
      <c r="AD752" s="194"/>
      <c r="AE752" s="194"/>
    </row>
    <row r="753">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c r="AC753" s="194"/>
      <c r="AD753" s="194"/>
      <c r="AE753" s="194"/>
    </row>
    <row r="754">
      <c r="A754" s="194"/>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c r="AA754" s="194"/>
      <c r="AB754" s="194"/>
      <c r="AC754" s="194"/>
      <c r="AD754" s="194"/>
      <c r="AE754" s="194"/>
    </row>
    <row r="75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c r="AC755" s="194"/>
      <c r="AD755" s="194"/>
      <c r="AE755" s="194"/>
    </row>
    <row r="756">
      <c r="A756" s="194"/>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c r="AA756" s="194"/>
      <c r="AB756" s="194"/>
      <c r="AC756" s="194"/>
      <c r="AD756" s="194"/>
      <c r="AE756" s="194"/>
    </row>
    <row r="757">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c r="AC757" s="194"/>
      <c r="AD757" s="194"/>
      <c r="AE757" s="194"/>
    </row>
    <row r="758">
      <c r="A758" s="194"/>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c r="AA758" s="194"/>
      <c r="AB758" s="194"/>
      <c r="AC758" s="194"/>
      <c r="AD758" s="194"/>
      <c r="AE758" s="194"/>
    </row>
    <row r="759">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c r="AC759" s="194"/>
      <c r="AD759" s="194"/>
      <c r="AE759" s="194"/>
    </row>
    <row r="760">
      <c r="A760" s="194"/>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c r="AA760" s="194"/>
      <c r="AB760" s="194"/>
      <c r="AC760" s="194"/>
      <c r="AD760" s="194"/>
      <c r="AE760" s="194"/>
    </row>
    <row r="761">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c r="AC761" s="194"/>
      <c r="AD761" s="194"/>
      <c r="AE761" s="194"/>
    </row>
    <row r="762">
      <c r="A762" s="194"/>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c r="AA762" s="194"/>
      <c r="AB762" s="194"/>
      <c r="AC762" s="194"/>
      <c r="AD762" s="194"/>
      <c r="AE762" s="194"/>
    </row>
    <row r="763">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c r="AC763" s="194"/>
      <c r="AD763" s="194"/>
      <c r="AE763" s="194"/>
    </row>
    <row r="764">
      <c r="A764" s="194"/>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c r="AA764" s="194"/>
      <c r="AB764" s="194"/>
      <c r="AC764" s="194"/>
      <c r="AD764" s="194"/>
      <c r="AE764" s="194"/>
    </row>
    <row r="76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c r="AC765" s="194"/>
      <c r="AD765" s="194"/>
      <c r="AE765" s="194"/>
    </row>
    <row r="766">
      <c r="A766" s="194"/>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c r="AA766" s="194"/>
      <c r="AB766" s="194"/>
      <c r="AC766" s="194"/>
      <c r="AD766" s="194"/>
      <c r="AE766" s="194"/>
    </row>
    <row r="767">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c r="AC767" s="194"/>
      <c r="AD767" s="194"/>
      <c r="AE767" s="194"/>
    </row>
    <row r="768">
      <c r="A768" s="194"/>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c r="AA768" s="194"/>
      <c r="AB768" s="194"/>
      <c r="AC768" s="194"/>
      <c r="AD768" s="194"/>
      <c r="AE768" s="194"/>
    </row>
    <row r="769">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c r="AC769" s="194"/>
      <c r="AD769" s="194"/>
      <c r="AE769" s="194"/>
    </row>
    <row r="770">
      <c r="A770" s="194"/>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c r="AA770" s="194"/>
      <c r="AB770" s="194"/>
      <c r="AC770" s="194"/>
      <c r="AD770" s="194"/>
      <c r="AE770" s="194"/>
    </row>
    <row r="771">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c r="AC771" s="194"/>
      <c r="AD771" s="194"/>
      <c r="AE771" s="194"/>
    </row>
    <row r="772">
      <c r="A772" s="194"/>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c r="AA772" s="194"/>
      <c r="AB772" s="194"/>
      <c r="AC772" s="194"/>
      <c r="AD772" s="194"/>
      <c r="AE772" s="194"/>
    </row>
    <row r="773">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c r="AC773" s="194"/>
      <c r="AD773" s="194"/>
      <c r="AE773" s="194"/>
    </row>
    <row r="774">
      <c r="A774" s="194"/>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c r="AA774" s="194"/>
      <c r="AB774" s="194"/>
      <c r="AC774" s="194"/>
      <c r="AD774" s="194"/>
      <c r="AE774" s="194"/>
    </row>
    <row r="77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c r="AC775" s="194"/>
      <c r="AD775" s="194"/>
      <c r="AE775" s="194"/>
    </row>
    <row r="776">
      <c r="A776" s="194"/>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c r="AA776" s="194"/>
      <c r="AB776" s="194"/>
      <c r="AC776" s="194"/>
      <c r="AD776" s="194"/>
      <c r="AE776" s="194"/>
    </row>
    <row r="777">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c r="AC777" s="194"/>
      <c r="AD777" s="194"/>
      <c r="AE777" s="194"/>
    </row>
    <row r="778">
      <c r="A778" s="194"/>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c r="AA778" s="194"/>
      <c r="AB778" s="194"/>
      <c r="AC778" s="194"/>
      <c r="AD778" s="194"/>
      <c r="AE778" s="194"/>
    </row>
    <row r="779">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c r="AC779" s="194"/>
      <c r="AD779" s="194"/>
      <c r="AE779" s="194"/>
    </row>
    <row r="780">
      <c r="A780" s="194"/>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c r="AA780" s="194"/>
      <c r="AB780" s="194"/>
      <c r="AC780" s="194"/>
      <c r="AD780" s="194"/>
      <c r="AE780" s="194"/>
    </row>
    <row r="781">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c r="AC781" s="194"/>
      <c r="AD781" s="194"/>
      <c r="AE781" s="194"/>
    </row>
    <row r="782">
      <c r="A782" s="194"/>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c r="AA782" s="194"/>
      <c r="AB782" s="194"/>
      <c r="AC782" s="194"/>
      <c r="AD782" s="194"/>
      <c r="AE782" s="194"/>
    </row>
    <row r="783">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c r="AC783" s="194"/>
      <c r="AD783" s="194"/>
      <c r="AE783" s="194"/>
    </row>
    <row r="784">
      <c r="A784" s="194"/>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c r="AA784" s="194"/>
      <c r="AB784" s="194"/>
      <c r="AC784" s="194"/>
      <c r="AD784" s="194"/>
      <c r="AE784" s="194"/>
    </row>
    <row r="78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c r="AC785" s="194"/>
      <c r="AD785" s="194"/>
      <c r="AE785" s="194"/>
    </row>
    <row r="786">
      <c r="A786" s="194"/>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c r="AA786" s="194"/>
      <c r="AB786" s="194"/>
      <c r="AC786" s="194"/>
      <c r="AD786" s="194"/>
      <c r="AE786" s="194"/>
    </row>
    <row r="787">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c r="AC787" s="194"/>
      <c r="AD787" s="194"/>
      <c r="AE787" s="194"/>
    </row>
    <row r="788">
      <c r="A788" s="194"/>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c r="AA788" s="194"/>
      <c r="AB788" s="194"/>
      <c r="AC788" s="194"/>
      <c r="AD788" s="194"/>
      <c r="AE788" s="194"/>
    </row>
    <row r="789">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c r="AC789" s="194"/>
      <c r="AD789" s="194"/>
      <c r="AE789" s="194"/>
    </row>
    <row r="790">
      <c r="A790" s="194"/>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c r="AA790" s="194"/>
      <c r="AB790" s="194"/>
      <c r="AC790" s="194"/>
      <c r="AD790" s="194"/>
      <c r="AE790" s="194"/>
    </row>
    <row r="791">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c r="AC791" s="194"/>
      <c r="AD791" s="194"/>
      <c r="AE791" s="194"/>
    </row>
    <row r="792">
      <c r="A792" s="194"/>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c r="AA792" s="194"/>
      <c r="AB792" s="194"/>
      <c r="AC792" s="194"/>
      <c r="AD792" s="194"/>
      <c r="AE792" s="194"/>
    </row>
    <row r="793">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c r="AC793" s="194"/>
      <c r="AD793" s="194"/>
      <c r="AE793" s="194"/>
    </row>
    <row r="794">
      <c r="A794" s="194"/>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c r="AA794" s="194"/>
      <c r="AB794" s="194"/>
      <c r="AC794" s="194"/>
      <c r="AD794" s="194"/>
      <c r="AE794" s="194"/>
    </row>
    <row r="79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c r="AC795" s="194"/>
      <c r="AD795" s="194"/>
      <c r="AE795" s="194"/>
    </row>
    <row r="796">
      <c r="A796" s="194"/>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c r="AA796" s="194"/>
      <c r="AB796" s="194"/>
      <c r="AC796" s="194"/>
      <c r="AD796" s="194"/>
      <c r="AE796" s="194"/>
    </row>
    <row r="797">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c r="AC797" s="194"/>
      <c r="AD797" s="194"/>
      <c r="AE797" s="194"/>
    </row>
    <row r="798">
      <c r="A798" s="194"/>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c r="AA798" s="194"/>
      <c r="AB798" s="194"/>
      <c r="AC798" s="194"/>
      <c r="AD798" s="194"/>
      <c r="AE798" s="194"/>
    </row>
    <row r="799">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c r="AC799" s="194"/>
      <c r="AD799" s="194"/>
      <c r="AE799" s="194"/>
    </row>
    <row r="800">
      <c r="A800" s="194"/>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c r="AA800" s="194"/>
      <c r="AB800" s="194"/>
      <c r="AC800" s="194"/>
      <c r="AD800" s="194"/>
      <c r="AE800" s="194"/>
    </row>
    <row r="801">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c r="AC801" s="194"/>
      <c r="AD801" s="194"/>
      <c r="AE801" s="194"/>
    </row>
    <row r="802">
      <c r="A802" s="194"/>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c r="AA802" s="194"/>
      <c r="AB802" s="194"/>
      <c r="AC802" s="194"/>
      <c r="AD802" s="194"/>
      <c r="AE802" s="194"/>
    </row>
    <row r="803">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c r="AC803" s="194"/>
      <c r="AD803" s="194"/>
      <c r="AE803" s="194"/>
    </row>
    <row r="804">
      <c r="A804" s="194"/>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c r="AA804" s="194"/>
      <c r="AB804" s="194"/>
      <c r="AC804" s="194"/>
      <c r="AD804" s="194"/>
      <c r="AE804" s="194"/>
    </row>
    <row r="80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c r="AC805" s="194"/>
      <c r="AD805" s="194"/>
      <c r="AE805" s="194"/>
    </row>
    <row r="806">
      <c r="A806" s="194"/>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c r="AA806" s="194"/>
      <c r="AB806" s="194"/>
      <c r="AC806" s="194"/>
      <c r="AD806" s="194"/>
      <c r="AE806" s="194"/>
    </row>
    <row r="807">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c r="AC807" s="194"/>
      <c r="AD807" s="194"/>
      <c r="AE807" s="194"/>
    </row>
    <row r="808">
      <c r="A808" s="194"/>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c r="AA808" s="194"/>
      <c r="AB808" s="194"/>
      <c r="AC808" s="194"/>
      <c r="AD808" s="194"/>
      <c r="AE808" s="194"/>
    </row>
    <row r="809">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c r="AC809" s="194"/>
      <c r="AD809" s="194"/>
      <c r="AE809" s="194"/>
    </row>
    <row r="810">
      <c r="A810" s="194"/>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c r="AA810" s="194"/>
      <c r="AB810" s="194"/>
      <c r="AC810" s="194"/>
      <c r="AD810" s="194"/>
      <c r="AE810" s="194"/>
    </row>
    <row r="811">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c r="AC811" s="194"/>
      <c r="AD811" s="194"/>
      <c r="AE811" s="194"/>
    </row>
    <row r="812">
      <c r="A812" s="194"/>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c r="AA812" s="194"/>
      <c r="AB812" s="194"/>
      <c r="AC812" s="194"/>
      <c r="AD812" s="194"/>
      <c r="AE812" s="194"/>
    </row>
    <row r="813">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c r="AC813" s="194"/>
      <c r="AD813" s="194"/>
      <c r="AE813" s="194"/>
    </row>
    <row r="814">
      <c r="A814" s="194"/>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c r="AA814" s="194"/>
      <c r="AB814" s="194"/>
      <c r="AC814" s="194"/>
      <c r="AD814" s="194"/>
      <c r="AE814" s="194"/>
    </row>
    <row r="81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c r="AC815" s="194"/>
      <c r="AD815" s="194"/>
      <c r="AE815" s="194"/>
    </row>
    <row r="816">
      <c r="A816" s="194"/>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c r="AA816" s="194"/>
      <c r="AB816" s="194"/>
      <c r="AC816" s="194"/>
      <c r="AD816" s="194"/>
      <c r="AE816" s="194"/>
    </row>
    <row r="817">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c r="AC817" s="194"/>
      <c r="AD817" s="194"/>
      <c r="AE817" s="194"/>
    </row>
    <row r="818">
      <c r="A818" s="194"/>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c r="AA818" s="194"/>
      <c r="AB818" s="194"/>
      <c r="AC818" s="194"/>
      <c r="AD818" s="194"/>
      <c r="AE818" s="194"/>
    </row>
    <row r="819">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c r="AC819" s="194"/>
      <c r="AD819" s="194"/>
      <c r="AE819" s="194"/>
    </row>
    <row r="820">
      <c r="A820" s="194"/>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c r="AA820" s="194"/>
      <c r="AB820" s="194"/>
      <c r="AC820" s="194"/>
      <c r="AD820" s="194"/>
      <c r="AE820" s="194"/>
    </row>
    <row r="821">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c r="AC821" s="194"/>
      <c r="AD821" s="194"/>
      <c r="AE821" s="194"/>
    </row>
    <row r="822">
      <c r="A822" s="194"/>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c r="AA822" s="194"/>
      <c r="AB822" s="194"/>
      <c r="AC822" s="194"/>
      <c r="AD822" s="194"/>
      <c r="AE822" s="194"/>
    </row>
    <row r="823">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c r="AC823" s="194"/>
      <c r="AD823" s="194"/>
      <c r="AE823" s="194"/>
    </row>
    <row r="824">
      <c r="A824" s="194"/>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c r="AA824" s="194"/>
      <c r="AB824" s="194"/>
      <c r="AC824" s="194"/>
      <c r="AD824" s="194"/>
      <c r="AE824" s="194"/>
    </row>
    <row r="8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c r="AC825" s="194"/>
      <c r="AD825" s="194"/>
      <c r="AE825" s="194"/>
    </row>
    <row r="826">
      <c r="A826" s="194"/>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c r="AA826" s="194"/>
      <c r="AB826" s="194"/>
      <c r="AC826" s="194"/>
      <c r="AD826" s="194"/>
      <c r="AE826" s="194"/>
    </row>
    <row r="827">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c r="AC827" s="194"/>
      <c r="AD827" s="194"/>
      <c r="AE827" s="194"/>
    </row>
    <row r="828">
      <c r="A828" s="194"/>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c r="AA828" s="194"/>
      <c r="AB828" s="194"/>
      <c r="AC828" s="194"/>
      <c r="AD828" s="194"/>
      <c r="AE828" s="194"/>
    </row>
    <row r="829">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c r="AC829" s="194"/>
      <c r="AD829" s="194"/>
      <c r="AE829" s="194"/>
    </row>
    <row r="830">
      <c r="A830" s="194"/>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c r="AA830" s="194"/>
      <c r="AB830" s="194"/>
      <c r="AC830" s="194"/>
      <c r="AD830" s="194"/>
      <c r="AE830" s="194"/>
    </row>
    <row r="831">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c r="AC831" s="194"/>
      <c r="AD831" s="194"/>
      <c r="AE831" s="194"/>
    </row>
    <row r="832">
      <c r="A832" s="194"/>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c r="AA832" s="194"/>
      <c r="AB832" s="194"/>
      <c r="AC832" s="194"/>
      <c r="AD832" s="194"/>
      <c r="AE832" s="194"/>
    </row>
    <row r="833">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c r="AC833" s="194"/>
      <c r="AD833" s="194"/>
      <c r="AE833" s="194"/>
    </row>
    <row r="834">
      <c r="A834" s="194"/>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c r="AA834" s="194"/>
      <c r="AB834" s="194"/>
      <c r="AC834" s="194"/>
      <c r="AD834" s="194"/>
      <c r="AE834" s="194"/>
    </row>
    <row r="83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c r="AC835" s="194"/>
      <c r="AD835" s="194"/>
      <c r="AE835" s="194"/>
    </row>
    <row r="836">
      <c r="A836" s="194"/>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c r="AA836" s="194"/>
      <c r="AB836" s="194"/>
      <c r="AC836" s="194"/>
      <c r="AD836" s="194"/>
      <c r="AE836" s="194"/>
    </row>
    <row r="837">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c r="AC837" s="194"/>
      <c r="AD837" s="194"/>
      <c r="AE837" s="194"/>
    </row>
    <row r="838">
      <c r="A838" s="194"/>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c r="AA838" s="194"/>
      <c r="AB838" s="194"/>
      <c r="AC838" s="194"/>
      <c r="AD838" s="194"/>
      <c r="AE838" s="194"/>
    </row>
    <row r="839">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c r="AC839" s="194"/>
      <c r="AD839" s="194"/>
      <c r="AE839" s="194"/>
    </row>
    <row r="840">
      <c r="A840" s="194"/>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c r="AA840" s="194"/>
      <c r="AB840" s="194"/>
      <c r="AC840" s="194"/>
      <c r="AD840" s="194"/>
      <c r="AE840" s="194"/>
    </row>
    <row r="841">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c r="AC841" s="194"/>
      <c r="AD841" s="194"/>
      <c r="AE841" s="194"/>
    </row>
    <row r="842">
      <c r="A842" s="194"/>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c r="AA842" s="194"/>
      <c r="AB842" s="194"/>
      <c r="AC842" s="194"/>
      <c r="AD842" s="194"/>
      <c r="AE842" s="194"/>
    </row>
    <row r="843">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c r="AC843" s="194"/>
      <c r="AD843" s="194"/>
      <c r="AE843" s="194"/>
    </row>
    <row r="844">
      <c r="A844" s="194"/>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c r="AA844" s="194"/>
      <c r="AB844" s="194"/>
      <c r="AC844" s="194"/>
      <c r="AD844" s="194"/>
      <c r="AE844" s="194"/>
    </row>
    <row r="84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c r="AC845" s="194"/>
      <c r="AD845" s="194"/>
      <c r="AE845" s="194"/>
    </row>
    <row r="846">
      <c r="A846" s="194"/>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c r="AA846" s="194"/>
      <c r="AB846" s="194"/>
      <c r="AC846" s="194"/>
      <c r="AD846" s="194"/>
      <c r="AE846" s="194"/>
    </row>
    <row r="847">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c r="AC847" s="194"/>
      <c r="AD847" s="194"/>
      <c r="AE847" s="194"/>
    </row>
    <row r="848">
      <c r="A848" s="194"/>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c r="AA848" s="194"/>
      <c r="AB848" s="194"/>
      <c r="AC848" s="194"/>
      <c r="AD848" s="194"/>
      <c r="AE848" s="194"/>
    </row>
    <row r="849">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c r="AC849" s="194"/>
      <c r="AD849" s="194"/>
      <c r="AE849" s="194"/>
    </row>
    <row r="850">
      <c r="A850" s="194"/>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c r="AA850" s="194"/>
      <c r="AB850" s="194"/>
      <c r="AC850" s="194"/>
      <c r="AD850" s="194"/>
      <c r="AE850" s="194"/>
    </row>
    <row r="851">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c r="AC851" s="194"/>
      <c r="AD851" s="194"/>
      <c r="AE851" s="194"/>
    </row>
    <row r="852">
      <c r="A852" s="194"/>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c r="AA852" s="194"/>
      <c r="AB852" s="194"/>
      <c r="AC852" s="194"/>
      <c r="AD852" s="194"/>
      <c r="AE852" s="194"/>
    </row>
    <row r="853">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c r="AC853" s="194"/>
      <c r="AD853" s="194"/>
      <c r="AE853" s="194"/>
    </row>
    <row r="854">
      <c r="A854" s="194"/>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c r="AA854" s="194"/>
      <c r="AB854" s="194"/>
      <c r="AC854" s="194"/>
      <c r="AD854" s="194"/>
      <c r="AE854" s="194"/>
    </row>
    <row r="85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c r="AC855" s="194"/>
      <c r="AD855" s="194"/>
      <c r="AE855" s="194"/>
    </row>
    <row r="856">
      <c r="A856" s="194"/>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c r="AA856" s="194"/>
      <c r="AB856" s="194"/>
      <c r="AC856" s="194"/>
      <c r="AD856" s="194"/>
      <c r="AE856" s="194"/>
    </row>
    <row r="857">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c r="AC857" s="194"/>
      <c r="AD857" s="194"/>
      <c r="AE857" s="194"/>
    </row>
    <row r="858">
      <c r="A858" s="194"/>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c r="AA858" s="194"/>
      <c r="AB858" s="194"/>
      <c r="AC858" s="194"/>
      <c r="AD858" s="194"/>
      <c r="AE858" s="194"/>
    </row>
    <row r="859">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c r="AC859" s="194"/>
      <c r="AD859" s="194"/>
      <c r="AE859" s="194"/>
    </row>
    <row r="860">
      <c r="A860" s="194"/>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c r="AA860" s="194"/>
      <c r="AB860" s="194"/>
      <c r="AC860" s="194"/>
      <c r="AD860" s="194"/>
      <c r="AE860" s="194"/>
    </row>
    <row r="861">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c r="AC861" s="194"/>
      <c r="AD861" s="194"/>
      <c r="AE861" s="194"/>
    </row>
    <row r="862">
      <c r="A862" s="194"/>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c r="AA862" s="194"/>
      <c r="AB862" s="194"/>
      <c r="AC862" s="194"/>
      <c r="AD862" s="194"/>
      <c r="AE862" s="194"/>
    </row>
    <row r="863">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c r="AC863" s="194"/>
      <c r="AD863" s="194"/>
      <c r="AE863" s="194"/>
    </row>
    <row r="864">
      <c r="A864" s="194"/>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c r="AA864" s="194"/>
      <c r="AB864" s="194"/>
      <c r="AC864" s="194"/>
      <c r="AD864" s="194"/>
      <c r="AE864" s="194"/>
    </row>
    <row r="86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c r="AC865" s="194"/>
      <c r="AD865" s="194"/>
      <c r="AE865" s="194"/>
    </row>
    <row r="866">
      <c r="A866" s="194"/>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c r="AA866" s="194"/>
      <c r="AB866" s="194"/>
      <c r="AC866" s="194"/>
      <c r="AD866" s="194"/>
      <c r="AE866" s="194"/>
    </row>
    <row r="867">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c r="AC867" s="194"/>
      <c r="AD867" s="194"/>
      <c r="AE867" s="194"/>
    </row>
    <row r="868">
      <c r="A868" s="194"/>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c r="AA868" s="194"/>
      <c r="AB868" s="194"/>
      <c r="AC868" s="194"/>
      <c r="AD868" s="194"/>
      <c r="AE868" s="194"/>
    </row>
    <row r="869">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c r="AC869" s="194"/>
      <c r="AD869" s="194"/>
      <c r="AE869" s="194"/>
    </row>
    <row r="870">
      <c r="A870" s="194"/>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c r="AA870" s="194"/>
      <c r="AB870" s="194"/>
      <c r="AC870" s="194"/>
      <c r="AD870" s="194"/>
      <c r="AE870" s="194"/>
    </row>
    <row r="871">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c r="AC871" s="194"/>
      <c r="AD871" s="194"/>
      <c r="AE871" s="194"/>
    </row>
    <row r="872">
      <c r="A872" s="194"/>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c r="AA872" s="194"/>
      <c r="AB872" s="194"/>
      <c r="AC872" s="194"/>
      <c r="AD872" s="194"/>
      <c r="AE872" s="194"/>
    </row>
    <row r="873">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c r="AC873" s="194"/>
      <c r="AD873" s="194"/>
      <c r="AE873" s="194"/>
    </row>
    <row r="874">
      <c r="A874" s="194"/>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c r="AA874" s="194"/>
      <c r="AB874" s="194"/>
      <c r="AC874" s="194"/>
      <c r="AD874" s="194"/>
      <c r="AE874" s="194"/>
    </row>
    <row r="87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c r="AC875" s="194"/>
      <c r="AD875" s="194"/>
      <c r="AE875" s="194"/>
    </row>
    <row r="876">
      <c r="A876" s="194"/>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c r="AA876" s="194"/>
      <c r="AB876" s="194"/>
      <c r="AC876" s="194"/>
      <c r="AD876" s="194"/>
      <c r="AE876" s="194"/>
    </row>
    <row r="877">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c r="AC877" s="194"/>
      <c r="AD877" s="194"/>
      <c r="AE877" s="194"/>
    </row>
    <row r="878">
      <c r="A878" s="194"/>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c r="AA878" s="194"/>
      <c r="AB878" s="194"/>
      <c r="AC878" s="194"/>
      <c r="AD878" s="194"/>
      <c r="AE878" s="194"/>
    </row>
    <row r="879">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c r="AC879" s="194"/>
      <c r="AD879" s="194"/>
      <c r="AE879" s="194"/>
    </row>
    <row r="880">
      <c r="A880" s="194"/>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c r="AA880" s="194"/>
      <c r="AB880" s="194"/>
      <c r="AC880" s="194"/>
      <c r="AD880" s="194"/>
      <c r="AE880" s="194"/>
    </row>
    <row r="881">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c r="AC881" s="194"/>
      <c r="AD881" s="194"/>
      <c r="AE881" s="194"/>
    </row>
    <row r="882">
      <c r="A882" s="194"/>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c r="AA882" s="194"/>
      <c r="AB882" s="194"/>
      <c r="AC882" s="194"/>
      <c r="AD882" s="194"/>
      <c r="AE882" s="194"/>
    </row>
    <row r="883">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c r="AC883" s="194"/>
      <c r="AD883" s="194"/>
      <c r="AE883" s="194"/>
    </row>
    <row r="884">
      <c r="A884" s="194"/>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c r="AA884" s="194"/>
      <c r="AB884" s="194"/>
      <c r="AC884" s="194"/>
      <c r="AD884" s="194"/>
      <c r="AE884" s="194"/>
    </row>
    <row r="88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c r="AC885" s="194"/>
      <c r="AD885" s="194"/>
      <c r="AE885" s="194"/>
    </row>
    <row r="886">
      <c r="A886" s="194"/>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c r="AA886" s="194"/>
      <c r="AB886" s="194"/>
      <c r="AC886" s="194"/>
      <c r="AD886" s="194"/>
      <c r="AE886" s="194"/>
    </row>
    <row r="887">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c r="AC887" s="194"/>
      <c r="AD887" s="194"/>
      <c r="AE887" s="194"/>
    </row>
    <row r="888">
      <c r="A888" s="194"/>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c r="AA888" s="194"/>
      <c r="AB888" s="194"/>
      <c r="AC888" s="194"/>
      <c r="AD888" s="194"/>
      <c r="AE888" s="194"/>
    </row>
    <row r="889">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c r="AC889" s="194"/>
      <c r="AD889" s="194"/>
      <c r="AE889" s="194"/>
    </row>
    <row r="890">
      <c r="A890" s="194"/>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c r="AA890" s="194"/>
      <c r="AB890" s="194"/>
      <c r="AC890" s="194"/>
      <c r="AD890" s="194"/>
      <c r="AE890" s="194"/>
    </row>
    <row r="891">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c r="AC891" s="194"/>
      <c r="AD891" s="194"/>
      <c r="AE891" s="194"/>
    </row>
    <row r="892">
      <c r="A892" s="194"/>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c r="AA892" s="194"/>
      <c r="AB892" s="194"/>
      <c r="AC892" s="194"/>
      <c r="AD892" s="194"/>
      <c r="AE892" s="194"/>
    </row>
    <row r="893">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c r="AC893" s="194"/>
      <c r="AD893" s="194"/>
      <c r="AE893" s="194"/>
    </row>
    <row r="894">
      <c r="A894" s="194"/>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c r="AA894" s="194"/>
      <c r="AB894" s="194"/>
      <c r="AC894" s="194"/>
      <c r="AD894" s="194"/>
      <c r="AE894" s="194"/>
    </row>
    <row r="89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c r="AC895" s="194"/>
      <c r="AD895" s="194"/>
      <c r="AE895" s="194"/>
    </row>
    <row r="896">
      <c r="A896" s="194"/>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c r="AA896" s="194"/>
      <c r="AB896" s="194"/>
      <c r="AC896" s="194"/>
      <c r="AD896" s="194"/>
      <c r="AE896" s="194"/>
    </row>
    <row r="897">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c r="AC897" s="194"/>
      <c r="AD897" s="194"/>
      <c r="AE897" s="194"/>
    </row>
    <row r="898">
      <c r="A898" s="194"/>
      <c r="B898" s="194"/>
      <c r="C898" s="194"/>
      <c r="D898" s="194"/>
      <c r="E898" s="194"/>
      <c r="F898" s="194"/>
      <c r="G898" s="194"/>
      <c r="H898" s="194"/>
      <c r="I898" s="194"/>
      <c r="J898" s="194"/>
      <c r="K898" s="194"/>
      <c r="L898" s="194"/>
      <c r="M898" s="194"/>
      <c r="N898" s="194"/>
      <c r="O898" s="194"/>
      <c r="P898" s="194"/>
      <c r="Q898" s="194"/>
      <c r="R898" s="194"/>
      <c r="S898" s="194"/>
      <c r="T898" s="194"/>
      <c r="U898" s="194"/>
      <c r="V898" s="194"/>
      <c r="W898" s="194"/>
      <c r="X898" s="194"/>
      <c r="Y898" s="194"/>
      <c r="Z898" s="194"/>
      <c r="AA898" s="194"/>
      <c r="AB898" s="194"/>
      <c r="AC898" s="194"/>
      <c r="AD898" s="194"/>
      <c r="AE898" s="194"/>
    </row>
    <row r="899">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c r="AA899" s="194"/>
      <c r="AB899" s="194"/>
      <c r="AC899" s="194"/>
      <c r="AD899" s="194"/>
      <c r="AE899" s="194"/>
    </row>
    <row r="900">
      <c r="A900" s="194"/>
      <c r="B900" s="194"/>
      <c r="C900" s="194"/>
      <c r="D900" s="194"/>
      <c r="E900" s="194"/>
      <c r="F900" s="194"/>
      <c r="G900" s="194"/>
      <c r="H900" s="194"/>
      <c r="I900" s="194"/>
      <c r="J900" s="194"/>
      <c r="K900" s="194"/>
      <c r="L900" s="194"/>
      <c r="M900" s="194"/>
      <c r="N900" s="194"/>
      <c r="O900" s="194"/>
      <c r="P900" s="194"/>
      <c r="Q900" s="194"/>
      <c r="R900" s="194"/>
      <c r="S900" s="194"/>
      <c r="T900" s="194"/>
      <c r="U900" s="194"/>
      <c r="V900" s="194"/>
      <c r="W900" s="194"/>
      <c r="X900" s="194"/>
      <c r="Y900" s="194"/>
      <c r="Z900" s="194"/>
      <c r="AA900" s="194"/>
      <c r="AB900" s="194"/>
      <c r="AC900" s="194"/>
      <c r="AD900" s="194"/>
      <c r="AE900" s="194"/>
    </row>
    <row r="901">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c r="AA901" s="194"/>
      <c r="AB901" s="194"/>
      <c r="AC901" s="194"/>
      <c r="AD901" s="194"/>
      <c r="AE901" s="194"/>
    </row>
    <row r="902">
      <c r="A902" s="194"/>
      <c r="B902" s="194"/>
      <c r="C902" s="194"/>
      <c r="D902" s="194"/>
      <c r="E902" s="194"/>
      <c r="F902" s="194"/>
      <c r="G902" s="194"/>
      <c r="H902" s="194"/>
      <c r="I902" s="194"/>
      <c r="J902" s="194"/>
      <c r="K902" s="194"/>
      <c r="L902" s="194"/>
      <c r="M902" s="194"/>
      <c r="N902" s="194"/>
      <c r="O902" s="194"/>
      <c r="P902" s="194"/>
      <c r="Q902" s="194"/>
      <c r="R902" s="194"/>
      <c r="S902" s="194"/>
      <c r="T902" s="194"/>
      <c r="U902" s="194"/>
      <c r="V902" s="194"/>
      <c r="W902" s="194"/>
      <c r="X902" s="194"/>
      <c r="Y902" s="194"/>
      <c r="Z902" s="194"/>
      <c r="AA902" s="194"/>
      <c r="AB902" s="194"/>
      <c r="AC902" s="194"/>
      <c r="AD902" s="194"/>
      <c r="AE902" s="194"/>
    </row>
    <row r="903">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c r="AA903" s="194"/>
      <c r="AB903" s="194"/>
      <c r="AC903" s="194"/>
      <c r="AD903" s="194"/>
      <c r="AE903" s="194"/>
    </row>
    <row r="904">
      <c r="A904" s="194"/>
      <c r="B904" s="194"/>
      <c r="C904" s="194"/>
      <c r="D904" s="194"/>
      <c r="E904" s="194"/>
      <c r="F904" s="194"/>
      <c r="G904" s="194"/>
      <c r="H904" s="194"/>
      <c r="I904" s="194"/>
      <c r="J904" s="194"/>
      <c r="K904" s="194"/>
      <c r="L904" s="194"/>
      <c r="M904" s="194"/>
      <c r="N904" s="194"/>
      <c r="O904" s="194"/>
      <c r="P904" s="194"/>
      <c r="Q904" s="194"/>
      <c r="R904" s="194"/>
      <c r="S904" s="194"/>
      <c r="T904" s="194"/>
      <c r="U904" s="194"/>
      <c r="V904" s="194"/>
      <c r="W904" s="194"/>
      <c r="X904" s="194"/>
      <c r="Y904" s="194"/>
      <c r="Z904" s="194"/>
      <c r="AA904" s="194"/>
      <c r="AB904" s="194"/>
      <c r="AC904" s="194"/>
      <c r="AD904" s="194"/>
      <c r="AE904" s="194"/>
    </row>
    <row r="90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c r="AA905" s="194"/>
      <c r="AB905" s="194"/>
      <c r="AC905" s="194"/>
      <c r="AD905" s="194"/>
      <c r="AE905" s="194"/>
    </row>
    <row r="906">
      <c r="A906" s="194"/>
      <c r="B906" s="194"/>
      <c r="C906" s="194"/>
      <c r="D906" s="194"/>
      <c r="E906" s="194"/>
      <c r="F906" s="194"/>
      <c r="G906" s="194"/>
      <c r="H906" s="194"/>
      <c r="I906" s="194"/>
      <c r="J906" s="194"/>
      <c r="K906" s="194"/>
      <c r="L906" s="194"/>
      <c r="M906" s="194"/>
      <c r="N906" s="194"/>
      <c r="O906" s="194"/>
      <c r="P906" s="194"/>
      <c r="Q906" s="194"/>
      <c r="R906" s="194"/>
      <c r="S906" s="194"/>
      <c r="T906" s="194"/>
      <c r="U906" s="194"/>
      <c r="V906" s="194"/>
      <c r="W906" s="194"/>
      <c r="X906" s="194"/>
      <c r="Y906" s="194"/>
      <c r="Z906" s="194"/>
      <c r="AA906" s="194"/>
      <c r="AB906" s="194"/>
      <c r="AC906" s="194"/>
      <c r="AD906" s="194"/>
      <c r="AE906" s="194"/>
    </row>
    <row r="907">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c r="AA907" s="194"/>
      <c r="AB907" s="194"/>
      <c r="AC907" s="194"/>
      <c r="AD907" s="194"/>
      <c r="AE907" s="194"/>
    </row>
    <row r="908">
      <c r="A908" s="194"/>
      <c r="B908" s="194"/>
      <c r="C908" s="194"/>
      <c r="D908" s="194"/>
      <c r="E908" s="194"/>
      <c r="F908" s="194"/>
      <c r="G908" s="194"/>
      <c r="H908" s="194"/>
      <c r="I908" s="194"/>
      <c r="J908" s="194"/>
      <c r="K908" s="194"/>
      <c r="L908" s="194"/>
      <c r="M908" s="194"/>
      <c r="N908" s="194"/>
      <c r="O908" s="194"/>
      <c r="P908" s="194"/>
      <c r="Q908" s="194"/>
      <c r="R908" s="194"/>
      <c r="S908" s="194"/>
      <c r="T908" s="194"/>
      <c r="U908" s="194"/>
      <c r="V908" s="194"/>
      <c r="W908" s="194"/>
      <c r="X908" s="194"/>
      <c r="Y908" s="194"/>
      <c r="Z908" s="194"/>
      <c r="AA908" s="194"/>
      <c r="AB908" s="194"/>
      <c r="AC908" s="194"/>
      <c r="AD908" s="194"/>
      <c r="AE908" s="194"/>
    </row>
    <row r="909">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c r="AA909" s="194"/>
      <c r="AB909" s="194"/>
      <c r="AC909" s="194"/>
      <c r="AD909" s="194"/>
      <c r="AE909" s="194"/>
    </row>
    <row r="910">
      <c r="A910" s="194"/>
      <c r="B910" s="194"/>
      <c r="C910" s="194"/>
      <c r="D910" s="194"/>
      <c r="E910" s="194"/>
      <c r="F910" s="194"/>
      <c r="G910" s="194"/>
      <c r="H910" s="194"/>
      <c r="I910" s="194"/>
      <c r="J910" s="194"/>
      <c r="K910" s="194"/>
      <c r="L910" s="194"/>
      <c r="M910" s="194"/>
      <c r="N910" s="194"/>
      <c r="O910" s="194"/>
      <c r="P910" s="194"/>
      <c r="Q910" s="194"/>
      <c r="R910" s="194"/>
      <c r="S910" s="194"/>
      <c r="T910" s="194"/>
      <c r="U910" s="194"/>
      <c r="V910" s="194"/>
      <c r="W910" s="194"/>
      <c r="X910" s="194"/>
      <c r="Y910" s="194"/>
      <c r="Z910" s="194"/>
      <c r="AA910" s="194"/>
      <c r="AB910" s="194"/>
      <c r="AC910" s="194"/>
      <c r="AD910" s="194"/>
      <c r="AE910" s="194"/>
    </row>
    <row r="911">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c r="AA911" s="194"/>
      <c r="AB911" s="194"/>
      <c r="AC911" s="194"/>
      <c r="AD911" s="194"/>
      <c r="AE911" s="194"/>
    </row>
    <row r="912">
      <c r="A912" s="194"/>
      <c r="B912" s="194"/>
      <c r="C912" s="194"/>
      <c r="D912" s="194"/>
      <c r="E912" s="194"/>
      <c r="F912" s="194"/>
      <c r="G912" s="194"/>
      <c r="H912" s="194"/>
      <c r="I912" s="194"/>
      <c r="J912" s="194"/>
      <c r="K912" s="194"/>
      <c r="L912" s="194"/>
      <c r="M912" s="194"/>
      <c r="N912" s="194"/>
      <c r="O912" s="194"/>
      <c r="P912" s="194"/>
      <c r="Q912" s="194"/>
      <c r="R912" s="194"/>
      <c r="S912" s="194"/>
      <c r="T912" s="194"/>
      <c r="U912" s="194"/>
      <c r="V912" s="194"/>
      <c r="W912" s="194"/>
      <c r="X912" s="194"/>
      <c r="Y912" s="194"/>
      <c r="Z912" s="194"/>
      <c r="AA912" s="194"/>
      <c r="AB912" s="194"/>
      <c r="AC912" s="194"/>
      <c r="AD912" s="194"/>
      <c r="AE912" s="194"/>
    </row>
    <row r="913">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c r="AA913" s="194"/>
      <c r="AB913" s="194"/>
      <c r="AC913" s="194"/>
      <c r="AD913" s="194"/>
      <c r="AE913" s="194"/>
    </row>
    <row r="914">
      <c r="A914" s="194"/>
      <c r="B914" s="194"/>
      <c r="C914" s="194"/>
      <c r="D914" s="194"/>
      <c r="E914" s="194"/>
      <c r="F914" s="194"/>
      <c r="G914" s="194"/>
      <c r="H914" s="194"/>
      <c r="I914" s="194"/>
      <c r="J914" s="194"/>
      <c r="K914" s="194"/>
      <c r="L914" s="194"/>
      <c r="M914" s="194"/>
      <c r="N914" s="194"/>
      <c r="O914" s="194"/>
      <c r="P914" s="194"/>
      <c r="Q914" s="194"/>
      <c r="R914" s="194"/>
      <c r="S914" s="194"/>
      <c r="T914" s="194"/>
      <c r="U914" s="194"/>
      <c r="V914" s="194"/>
      <c r="W914" s="194"/>
      <c r="X914" s="194"/>
      <c r="Y914" s="194"/>
      <c r="Z914" s="194"/>
      <c r="AA914" s="194"/>
      <c r="AB914" s="194"/>
      <c r="AC914" s="194"/>
      <c r="AD914" s="194"/>
      <c r="AE914" s="194"/>
    </row>
    <row r="91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c r="AA915" s="194"/>
      <c r="AB915" s="194"/>
      <c r="AC915" s="194"/>
      <c r="AD915" s="194"/>
      <c r="AE915" s="194"/>
    </row>
    <row r="916">
      <c r="A916" s="194"/>
      <c r="B916" s="194"/>
      <c r="C916" s="194"/>
      <c r="D916" s="194"/>
      <c r="E916" s="194"/>
      <c r="F916" s="194"/>
      <c r="G916" s="194"/>
      <c r="H916" s="194"/>
      <c r="I916" s="194"/>
      <c r="J916" s="194"/>
      <c r="K916" s="194"/>
      <c r="L916" s="194"/>
      <c r="M916" s="194"/>
      <c r="N916" s="194"/>
      <c r="O916" s="194"/>
      <c r="P916" s="194"/>
      <c r="Q916" s="194"/>
      <c r="R916" s="194"/>
      <c r="S916" s="194"/>
      <c r="T916" s="194"/>
      <c r="U916" s="194"/>
      <c r="V916" s="194"/>
      <c r="W916" s="194"/>
      <c r="X916" s="194"/>
      <c r="Y916" s="194"/>
      <c r="Z916" s="194"/>
      <c r="AA916" s="194"/>
      <c r="AB916" s="194"/>
      <c r="AC916" s="194"/>
      <c r="AD916" s="194"/>
      <c r="AE916" s="194"/>
    </row>
    <row r="917">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c r="AA917" s="194"/>
      <c r="AB917" s="194"/>
      <c r="AC917" s="194"/>
      <c r="AD917" s="194"/>
      <c r="AE917" s="194"/>
    </row>
    <row r="918">
      <c r="A918" s="194"/>
      <c r="B918" s="194"/>
      <c r="C918" s="194"/>
      <c r="D918" s="194"/>
      <c r="E918" s="194"/>
      <c r="F918" s="194"/>
      <c r="G918" s="194"/>
      <c r="H918" s="194"/>
      <c r="I918" s="194"/>
      <c r="J918" s="194"/>
      <c r="K918" s="194"/>
      <c r="L918" s="194"/>
      <c r="M918" s="194"/>
      <c r="N918" s="194"/>
      <c r="O918" s="194"/>
      <c r="P918" s="194"/>
      <c r="Q918" s="194"/>
      <c r="R918" s="194"/>
      <c r="S918" s="194"/>
      <c r="T918" s="194"/>
      <c r="U918" s="194"/>
      <c r="V918" s="194"/>
      <c r="W918" s="194"/>
      <c r="X918" s="194"/>
      <c r="Y918" s="194"/>
      <c r="Z918" s="194"/>
      <c r="AA918" s="194"/>
      <c r="AB918" s="194"/>
      <c r="AC918" s="194"/>
      <c r="AD918" s="194"/>
      <c r="AE918" s="194"/>
    </row>
    <row r="919">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c r="AA919" s="194"/>
      <c r="AB919" s="194"/>
      <c r="AC919" s="194"/>
      <c r="AD919" s="194"/>
      <c r="AE919" s="194"/>
    </row>
    <row r="920">
      <c r="A920" s="194"/>
      <c r="B920" s="194"/>
      <c r="C920" s="194"/>
      <c r="D920" s="194"/>
      <c r="E920" s="194"/>
      <c r="F920" s="194"/>
      <c r="G920" s="194"/>
      <c r="H920" s="194"/>
      <c r="I920" s="194"/>
      <c r="J920" s="194"/>
      <c r="K920" s="194"/>
      <c r="L920" s="194"/>
      <c r="M920" s="194"/>
      <c r="N920" s="194"/>
      <c r="O920" s="194"/>
      <c r="P920" s="194"/>
      <c r="Q920" s="194"/>
      <c r="R920" s="194"/>
      <c r="S920" s="194"/>
      <c r="T920" s="194"/>
      <c r="U920" s="194"/>
      <c r="V920" s="194"/>
      <c r="W920" s="194"/>
      <c r="X920" s="194"/>
      <c r="Y920" s="194"/>
      <c r="Z920" s="194"/>
      <c r="AA920" s="194"/>
      <c r="AB920" s="194"/>
      <c r="AC920" s="194"/>
      <c r="AD920" s="194"/>
      <c r="AE920" s="194"/>
    </row>
    <row r="921">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c r="AA921" s="194"/>
      <c r="AB921" s="194"/>
      <c r="AC921" s="194"/>
      <c r="AD921" s="194"/>
      <c r="AE921" s="194"/>
    </row>
    <row r="922">
      <c r="A922" s="194"/>
      <c r="B922" s="194"/>
      <c r="C922" s="194"/>
      <c r="D922" s="194"/>
      <c r="E922" s="194"/>
      <c r="F922" s="194"/>
      <c r="G922" s="194"/>
      <c r="H922" s="194"/>
      <c r="I922" s="194"/>
      <c r="J922" s="194"/>
      <c r="K922" s="194"/>
      <c r="L922" s="194"/>
      <c r="M922" s="194"/>
      <c r="N922" s="194"/>
      <c r="O922" s="194"/>
      <c r="P922" s="194"/>
      <c r="Q922" s="194"/>
      <c r="R922" s="194"/>
      <c r="S922" s="194"/>
      <c r="T922" s="194"/>
      <c r="U922" s="194"/>
      <c r="V922" s="194"/>
      <c r="W922" s="194"/>
      <c r="X922" s="194"/>
      <c r="Y922" s="194"/>
      <c r="Z922" s="194"/>
      <c r="AA922" s="194"/>
      <c r="AB922" s="194"/>
      <c r="AC922" s="194"/>
      <c r="AD922" s="194"/>
      <c r="AE922" s="194"/>
    </row>
    <row r="923">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c r="AA923" s="194"/>
      <c r="AB923" s="194"/>
      <c r="AC923" s="194"/>
      <c r="AD923" s="194"/>
      <c r="AE923" s="194"/>
    </row>
    <row r="924">
      <c r="A924" s="194"/>
      <c r="B924" s="194"/>
      <c r="C924" s="194"/>
      <c r="D924" s="194"/>
      <c r="E924" s="194"/>
      <c r="F924" s="194"/>
      <c r="G924" s="194"/>
      <c r="H924" s="194"/>
      <c r="I924" s="194"/>
      <c r="J924" s="194"/>
      <c r="K924" s="194"/>
      <c r="L924" s="194"/>
      <c r="M924" s="194"/>
      <c r="N924" s="194"/>
      <c r="O924" s="194"/>
      <c r="P924" s="194"/>
      <c r="Q924" s="194"/>
      <c r="R924" s="194"/>
      <c r="S924" s="194"/>
      <c r="T924" s="194"/>
      <c r="U924" s="194"/>
      <c r="V924" s="194"/>
      <c r="W924" s="194"/>
      <c r="X924" s="194"/>
      <c r="Y924" s="194"/>
      <c r="Z924" s="194"/>
      <c r="AA924" s="194"/>
      <c r="AB924" s="194"/>
      <c r="AC924" s="194"/>
      <c r="AD924" s="194"/>
      <c r="AE924" s="194"/>
    </row>
    <row r="9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c r="AA925" s="194"/>
      <c r="AB925" s="194"/>
      <c r="AC925" s="194"/>
      <c r="AD925" s="194"/>
      <c r="AE925" s="194"/>
    </row>
    <row r="926">
      <c r="A926" s="194"/>
      <c r="B926" s="194"/>
      <c r="C926" s="194"/>
      <c r="D926" s="194"/>
      <c r="E926" s="194"/>
      <c r="F926" s="194"/>
      <c r="G926" s="194"/>
      <c r="H926" s="194"/>
      <c r="I926" s="194"/>
      <c r="J926" s="194"/>
      <c r="K926" s="194"/>
      <c r="L926" s="194"/>
      <c r="M926" s="194"/>
      <c r="N926" s="194"/>
      <c r="O926" s="194"/>
      <c r="P926" s="194"/>
      <c r="Q926" s="194"/>
      <c r="R926" s="194"/>
      <c r="S926" s="194"/>
      <c r="T926" s="194"/>
      <c r="U926" s="194"/>
      <c r="V926" s="194"/>
      <c r="W926" s="194"/>
      <c r="X926" s="194"/>
      <c r="Y926" s="194"/>
      <c r="Z926" s="194"/>
      <c r="AA926" s="194"/>
      <c r="AB926" s="194"/>
      <c r="AC926" s="194"/>
      <c r="AD926" s="194"/>
      <c r="AE926" s="194"/>
    </row>
    <row r="927">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c r="AA927" s="194"/>
      <c r="AB927" s="194"/>
      <c r="AC927" s="194"/>
      <c r="AD927" s="194"/>
      <c r="AE927" s="194"/>
    </row>
    <row r="928">
      <c r="A928" s="194"/>
      <c r="B928" s="194"/>
      <c r="C928" s="194"/>
      <c r="D928" s="194"/>
      <c r="E928" s="194"/>
      <c r="F928" s="194"/>
      <c r="G928" s="194"/>
      <c r="H928" s="194"/>
      <c r="I928" s="194"/>
      <c r="J928" s="194"/>
      <c r="K928" s="194"/>
      <c r="L928" s="194"/>
      <c r="M928" s="194"/>
      <c r="N928" s="194"/>
      <c r="O928" s="194"/>
      <c r="P928" s="194"/>
      <c r="Q928" s="194"/>
      <c r="R928" s="194"/>
      <c r="S928" s="194"/>
      <c r="T928" s="194"/>
      <c r="U928" s="194"/>
      <c r="V928" s="194"/>
      <c r="W928" s="194"/>
      <c r="X928" s="194"/>
      <c r="Y928" s="194"/>
      <c r="Z928" s="194"/>
      <c r="AA928" s="194"/>
      <c r="AB928" s="194"/>
      <c r="AC928" s="194"/>
      <c r="AD928" s="194"/>
      <c r="AE928" s="194"/>
    </row>
    <row r="929">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c r="AA929" s="194"/>
      <c r="AB929" s="194"/>
      <c r="AC929" s="194"/>
      <c r="AD929" s="194"/>
      <c r="AE929" s="194"/>
    </row>
    <row r="930">
      <c r="A930" s="194"/>
      <c r="B930" s="194"/>
      <c r="C930" s="194"/>
      <c r="D930" s="194"/>
      <c r="E930" s="194"/>
      <c r="F930" s="194"/>
      <c r="G930" s="194"/>
      <c r="H930" s="194"/>
      <c r="I930" s="194"/>
      <c r="J930" s="194"/>
      <c r="K930" s="194"/>
      <c r="L930" s="194"/>
      <c r="M930" s="194"/>
      <c r="N930" s="194"/>
      <c r="O930" s="194"/>
      <c r="P930" s="194"/>
      <c r="Q930" s="194"/>
      <c r="R930" s="194"/>
      <c r="S930" s="194"/>
      <c r="T930" s="194"/>
      <c r="U930" s="194"/>
      <c r="V930" s="194"/>
      <c r="W930" s="194"/>
      <c r="X930" s="194"/>
      <c r="Y930" s="194"/>
      <c r="Z930" s="194"/>
      <c r="AA930" s="194"/>
      <c r="AB930" s="194"/>
      <c r="AC930" s="194"/>
      <c r="AD930" s="194"/>
      <c r="AE930" s="194"/>
    </row>
    <row r="931">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c r="AA931" s="194"/>
      <c r="AB931" s="194"/>
      <c r="AC931" s="194"/>
      <c r="AD931" s="194"/>
      <c r="AE931" s="194"/>
    </row>
    <row r="932">
      <c r="A932" s="194"/>
      <c r="B932" s="194"/>
      <c r="C932" s="194"/>
      <c r="D932" s="194"/>
      <c r="E932" s="194"/>
      <c r="F932" s="194"/>
      <c r="G932" s="194"/>
      <c r="H932" s="194"/>
      <c r="I932" s="194"/>
      <c r="J932" s="194"/>
      <c r="K932" s="194"/>
      <c r="L932" s="194"/>
      <c r="M932" s="194"/>
      <c r="N932" s="194"/>
      <c r="O932" s="194"/>
      <c r="P932" s="194"/>
      <c r="Q932" s="194"/>
      <c r="R932" s="194"/>
      <c r="S932" s="194"/>
      <c r="T932" s="194"/>
      <c r="U932" s="194"/>
      <c r="V932" s="194"/>
      <c r="W932" s="194"/>
      <c r="X932" s="194"/>
      <c r="Y932" s="194"/>
      <c r="Z932" s="194"/>
      <c r="AA932" s="194"/>
      <c r="AB932" s="194"/>
      <c r="AC932" s="194"/>
      <c r="AD932" s="194"/>
      <c r="AE932" s="194"/>
    </row>
    <row r="933">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c r="AA933" s="194"/>
      <c r="AB933" s="194"/>
      <c r="AC933" s="194"/>
      <c r="AD933" s="194"/>
      <c r="AE933" s="194"/>
    </row>
    <row r="934">
      <c r="A934" s="194"/>
      <c r="B934" s="194"/>
      <c r="C934" s="194"/>
      <c r="D934" s="194"/>
      <c r="E934" s="194"/>
      <c r="F934" s="194"/>
      <c r="G934" s="194"/>
      <c r="H934" s="194"/>
      <c r="I934" s="194"/>
      <c r="J934" s="194"/>
      <c r="K934" s="194"/>
      <c r="L934" s="194"/>
      <c r="M934" s="194"/>
      <c r="N934" s="194"/>
      <c r="O934" s="194"/>
      <c r="P934" s="194"/>
      <c r="Q934" s="194"/>
      <c r="R934" s="194"/>
      <c r="S934" s="194"/>
      <c r="T934" s="194"/>
      <c r="U934" s="194"/>
      <c r="V934" s="194"/>
      <c r="W934" s="194"/>
      <c r="X934" s="194"/>
      <c r="Y934" s="194"/>
      <c r="Z934" s="194"/>
      <c r="AA934" s="194"/>
      <c r="AB934" s="194"/>
      <c r="AC934" s="194"/>
      <c r="AD934" s="194"/>
      <c r="AE934" s="194"/>
    </row>
    <row r="93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c r="AA935" s="194"/>
      <c r="AB935" s="194"/>
      <c r="AC935" s="194"/>
      <c r="AD935" s="194"/>
      <c r="AE935" s="194"/>
    </row>
    <row r="936">
      <c r="A936" s="194"/>
      <c r="B936" s="194"/>
      <c r="C936" s="194"/>
      <c r="D936" s="194"/>
      <c r="E936" s="194"/>
      <c r="F936" s="194"/>
      <c r="G936" s="194"/>
      <c r="H936" s="194"/>
      <c r="I936" s="194"/>
      <c r="J936" s="194"/>
      <c r="K936" s="194"/>
      <c r="L936" s="194"/>
      <c r="M936" s="194"/>
      <c r="N936" s="194"/>
      <c r="O936" s="194"/>
      <c r="P936" s="194"/>
      <c r="Q936" s="194"/>
      <c r="R936" s="194"/>
      <c r="S936" s="194"/>
      <c r="T936" s="194"/>
      <c r="U936" s="194"/>
      <c r="V936" s="194"/>
      <c r="W936" s="194"/>
      <c r="X936" s="194"/>
      <c r="Y936" s="194"/>
      <c r="Z936" s="194"/>
      <c r="AA936" s="194"/>
      <c r="AB936" s="194"/>
      <c r="AC936" s="194"/>
      <c r="AD936" s="194"/>
      <c r="AE936" s="194"/>
    </row>
    <row r="937">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c r="AA937" s="194"/>
      <c r="AB937" s="194"/>
      <c r="AC937" s="194"/>
      <c r="AD937" s="194"/>
      <c r="AE937" s="194"/>
    </row>
    <row r="938">
      <c r="A938" s="194"/>
      <c r="B938" s="194"/>
      <c r="C938" s="194"/>
      <c r="D938" s="194"/>
      <c r="E938" s="194"/>
      <c r="F938" s="194"/>
      <c r="G938" s="194"/>
      <c r="H938" s="194"/>
      <c r="I938" s="194"/>
      <c r="J938" s="194"/>
      <c r="K938" s="194"/>
      <c r="L938" s="194"/>
      <c r="M938" s="194"/>
      <c r="N938" s="194"/>
      <c r="O938" s="194"/>
      <c r="P938" s="194"/>
      <c r="Q938" s="194"/>
      <c r="R938" s="194"/>
      <c r="S938" s="194"/>
      <c r="T938" s="194"/>
      <c r="U938" s="194"/>
      <c r="V938" s="194"/>
      <c r="W938" s="194"/>
      <c r="X938" s="194"/>
      <c r="Y938" s="194"/>
      <c r="Z938" s="194"/>
      <c r="AA938" s="194"/>
      <c r="AB938" s="194"/>
      <c r="AC938" s="194"/>
      <c r="AD938" s="194"/>
      <c r="AE938" s="194"/>
    </row>
    <row r="939">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c r="AA939" s="194"/>
      <c r="AB939" s="194"/>
      <c r="AC939" s="194"/>
      <c r="AD939" s="194"/>
      <c r="AE939" s="194"/>
    </row>
    <row r="940">
      <c r="A940" s="194"/>
      <c r="B940" s="194"/>
      <c r="C940" s="194"/>
      <c r="D940" s="194"/>
      <c r="E940" s="194"/>
      <c r="F940" s="194"/>
      <c r="G940" s="194"/>
      <c r="H940" s="194"/>
      <c r="I940" s="194"/>
      <c r="J940" s="194"/>
      <c r="K940" s="194"/>
      <c r="L940" s="194"/>
      <c r="M940" s="194"/>
      <c r="N940" s="194"/>
      <c r="O940" s="194"/>
      <c r="P940" s="194"/>
      <c r="Q940" s="194"/>
      <c r="R940" s="194"/>
      <c r="S940" s="194"/>
      <c r="T940" s="194"/>
      <c r="U940" s="194"/>
      <c r="V940" s="194"/>
      <c r="W940" s="194"/>
      <c r="X940" s="194"/>
      <c r="Y940" s="194"/>
      <c r="Z940" s="194"/>
      <c r="AA940" s="194"/>
      <c r="AB940" s="194"/>
      <c r="AC940" s="194"/>
      <c r="AD940" s="194"/>
      <c r="AE940" s="194"/>
    </row>
    <row r="941">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c r="AA941" s="194"/>
      <c r="AB941" s="194"/>
      <c r="AC941" s="194"/>
      <c r="AD941" s="194"/>
      <c r="AE941" s="194"/>
    </row>
    <row r="942">
      <c r="A942" s="194"/>
      <c r="B942" s="194"/>
      <c r="C942" s="194"/>
      <c r="D942" s="194"/>
      <c r="E942" s="194"/>
      <c r="F942" s="194"/>
      <c r="G942" s="194"/>
      <c r="H942" s="194"/>
      <c r="I942" s="194"/>
      <c r="J942" s="194"/>
      <c r="K942" s="194"/>
      <c r="L942" s="194"/>
      <c r="M942" s="194"/>
      <c r="N942" s="194"/>
      <c r="O942" s="194"/>
      <c r="P942" s="194"/>
      <c r="Q942" s="194"/>
      <c r="R942" s="194"/>
      <c r="S942" s="194"/>
      <c r="T942" s="194"/>
      <c r="U942" s="194"/>
      <c r="V942" s="194"/>
      <c r="W942" s="194"/>
      <c r="X942" s="194"/>
      <c r="Y942" s="194"/>
      <c r="Z942" s="194"/>
      <c r="AA942" s="194"/>
      <c r="AB942" s="194"/>
      <c r="AC942" s="194"/>
      <c r="AD942" s="194"/>
      <c r="AE942" s="194"/>
    </row>
    <row r="943">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c r="AA943" s="194"/>
      <c r="AB943" s="194"/>
      <c r="AC943" s="194"/>
      <c r="AD943" s="194"/>
      <c r="AE943" s="194"/>
    </row>
    <row r="944">
      <c r="A944" s="194"/>
      <c r="B944" s="194"/>
      <c r="C944" s="194"/>
      <c r="D944" s="194"/>
      <c r="E944" s="194"/>
      <c r="F944" s="194"/>
      <c r="G944" s="194"/>
      <c r="H944" s="194"/>
      <c r="I944" s="194"/>
      <c r="J944" s="194"/>
      <c r="K944" s="194"/>
      <c r="L944" s="194"/>
      <c r="M944" s="194"/>
      <c r="N944" s="194"/>
      <c r="O944" s="194"/>
      <c r="P944" s="194"/>
      <c r="Q944" s="194"/>
      <c r="R944" s="194"/>
      <c r="S944" s="194"/>
      <c r="T944" s="194"/>
      <c r="U944" s="194"/>
      <c r="V944" s="194"/>
      <c r="W944" s="194"/>
      <c r="X944" s="194"/>
      <c r="Y944" s="194"/>
      <c r="Z944" s="194"/>
      <c r="AA944" s="194"/>
      <c r="AB944" s="194"/>
      <c r="AC944" s="194"/>
      <c r="AD944" s="194"/>
      <c r="AE944" s="194"/>
    </row>
    <row r="94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c r="AA945" s="194"/>
      <c r="AB945" s="194"/>
      <c r="AC945" s="194"/>
      <c r="AD945" s="194"/>
      <c r="AE945" s="194"/>
    </row>
    <row r="946">
      <c r="A946" s="194"/>
      <c r="B946" s="194"/>
      <c r="C946" s="194"/>
      <c r="D946" s="194"/>
      <c r="E946" s="194"/>
      <c r="F946" s="194"/>
      <c r="G946" s="194"/>
      <c r="H946" s="194"/>
      <c r="I946" s="194"/>
      <c r="J946" s="194"/>
      <c r="K946" s="194"/>
      <c r="L946" s="194"/>
      <c r="M946" s="194"/>
      <c r="N946" s="194"/>
      <c r="O946" s="194"/>
      <c r="P946" s="194"/>
      <c r="Q946" s="194"/>
      <c r="R946" s="194"/>
      <c r="S946" s="194"/>
      <c r="T946" s="194"/>
      <c r="U946" s="194"/>
      <c r="V946" s="194"/>
      <c r="W946" s="194"/>
      <c r="X946" s="194"/>
      <c r="Y946" s="194"/>
      <c r="Z946" s="194"/>
      <c r="AA946" s="194"/>
      <c r="AB946" s="194"/>
      <c r="AC946" s="194"/>
      <c r="AD946" s="194"/>
      <c r="AE946" s="194"/>
    </row>
    <row r="947">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c r="AA947" s="194"/>
      <c r="AB947" s="194"/>
      <c r="AC947" s="194"/>
      <c r="AD947" s="194"/>
      <c r="AE947" s="194"/>
    </row>
    <row r="948">
      <c r="A948" s="194"/>
      <c r="B948" s="194"/>
      <c r="C948" s="194"/>
      <c r="D948" s="194"/>
      <c r="E948" s="194"/>
      <c r="F948" s="194"/>
      <c r="G948" s="194"/>
      <c r="H948" s="194"/>
      <c r="I948" s="194"/>
      <c r="J948" s="194"/>
      <c r="K948" s="194"/>
      <c r="L948" s="194"/>
      <c r="M948" s="194"/>
      <c r="N948" s="194"/>
      <c r="O948" s="194"/>
      <c r="P948" s="194"/>
      <c r="Q948" s="194"/>
      <c r="R948" s="194"/>
      <c r="S948" s="194"/>
      <c r="T948" s="194"/>
      <c r="U948" s="194"/>
      <c r="V948" s="194"/>
      <c r="W948" s="194"/>
      <c r="X948" s="194"/>
      <c r="Y948" s="194"/>
      <c r="Z948" s="194"/>
      <c r="AA948" s="194"/>
      <c r="AB948" s="194"/>
      <c r="AC948" s="194"/>
      <c r="AD948" s="194"/>
      <c r="AE948" s="194"/>
    </row>
    <row r="949">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c r="AA949" s="194"/>
      <c r="AB949" s="194"/>
      <c r="AC949" s="194"/>
      <c r="AD949" s="194"/>
      <c r="AE949" s="194"/>
    </row>
    <row r="950">
      <c r="A950" s="194"/>
      <c r="B950" s="194"/>
      <c r="C950" s="194"/>
      <c r="D950" s="194"/>
      <c r="E950" s="194"/>
      <c r="F950" s="194"/>
      <c r="G950" s="194"/>
      <c r="H950" s="194"/>
      <c r="I950" s="194"/>
      <c r="J950" s="194"/>
      <c r="K950" s="194"/>
      <c r="L950" s="194"/>
      <c r="M950" s="194"/>
      <c r="N950" s="194"/>
      <c r="O950" s="194"/>
      <c r="P950" s="194"/>
      <c r="Q950" s="194"/>
      <c r="R950" s="194"/>
      <c r="S950" s="194"/>
      <c r="T950" s="194"/>
      <c r="U950" s="194"/>
      <c r="V950" s="194"/>
      <c r="W950" s="194"/>
      <c r="X950" s="194"/>
      <c r="Y950" s="194"/>
      <c r="Z950" s="194"/>
      <c r="AA950" s="194"/>
      <c r="AB950" s="194"/>
      <c r="AC950" s="194"/>
      <c r="AD950" s="194"/>
      <c r="AE950" s="194"/>
    </row>
    <row r="951">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c r="AA951" s="194"/>
      <c r="AB951" s="194"/>
      <c r="AC951" s="194"/>
      <c r="AD951" s="194"/>
      <c r="AE951" s="194"/>
    </row>
    <row r="952">
      <c r="A952" s="194"/>
      <c r="B952" s="194"/>
      <c r="C952" s="194"/>
      <c r="D952" s="194"/>
      <c r="E952" s="194"/>
      <c r="F952" s="194"/>
      <c r="G952" s="194"/>
      <c r="H952" s="194"/>
      <c r="I952" s="194"/>
      <c r="J952" s="194"/>
      <c r="K952" s="194"/>
      <c r="L952" s="194"/>
      <c r="M952" s="194"/>
      <c r="N952" s="194"/>
      <c r="O952" s="194"/>
      <c r="P952" s="194"/>
      <c r="Q952" s="194"/>
      <c r="R952" s="194"/>
      <c r="S952" s="194"/>
      <c r="T952" s="194"/>
      <c r="U952" s="194"/>
      <c r="V952" s="194"/>
      <c r="W952" s="194"/>
      <c r="X952" s="194"/>
      <c r="Y952" s="194"/>
      <c r="Z952" s="194"/>
      <c r="AA952" s="194"/>
      <c r="AB952" s="194"/>
      <c r="AC952" s="194"/>
      <c r="AD952" s="194"/>
      <c r="AE952" s="194"/>
    </row>
    <row r="953">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c r="AA953" s="194"/>
      <c r="AB953" s="194"/>
      <c r="AC953" s="194"/>
      <c r="AD953" s="194"/>
      <c r="AE953" s="194"/>
    </row>
    <row r="954">
      <c r="A954" s="194"/>
      <c r="B954" s="194"/>
      <c r="C954" s="194"/>
      <c r="D954" s="194"/>
      <c r="E954" s="194"/>
      <c r="F954" s="194"/>
      <c r="G954" s="194"/>
      <c r="H954" s="194"/>
      <c r="I954" s="194"/>
      <c r="J954" s="194"/>
      <c r="K954" s="194"/>
      <c r="L954" s="194"/>
      <c r="M954" s="194"/>
      <c r="N954" s="194"/>
      <c r="O954" s="194"/>
      <c r="P954" s="194"/>
      <c r="Q954" s="194"/>
      <c r="R954" s="194"/>
      <c r="S954" s="194"/>
      <c r="T954" s="194"/>
      <c r="U954" s="194"/>
      <c r="V954" s="194"/>
      <c r="W954" s="194"/>
      <c r="X954" s="194"/>
      <c r="Y954" s="194"/>
      <c r="Z954" s="194"/>
      <c r="AA954" s="194"/>
      <c r="AB954" s="194"/>
      <c r="AC954" s="194"/>
      <c r="AD954" s="194"/>
      <c r="AE954" s="194"/>
    </row>
    <row r="95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c r="AA955" s="194"/>
      <c r="AB955" s="194"/>
      <c r="AC955" s="194"/>
      <c r="AD955" s="194"/>
      <c r="AE955" s="194"/>
    </row>
    <row r="956">
      <c r="A956" s="194"/>
      <c r="B956" s="194"/>
      <c r="C956" s="194"/>
      <c r="D956" s="194"/>
      <c r="E956" s="194"/>
      <c r="F956" s="194"/>
      <c r="G956" s="194"/>
      <c r="H956" s="194"/>
      <c r="I956" s="194"/>
      <c r="J956" s="194"/>
      <c r="K956" s="194"/>
      <c r="L956" s="194"/>
      <c r="M956" s="194"/>
      <c r="N956" s="194"/>
      <c r="O956" s="194"/>
      <c r="P956" s="194"/>
      <c r="Q956" s="194"/>
      <c r="R956" s="194"/>
      <c r="S956" s="194"/>
      <c r="T956" s="194"/>
      <c r="U956" s="194"/>
      <c r="V956" s="194"/>
      <c r="W956" s="194"/>
      <c r="X956" s="194"/>
      <c r="Y956" s="194"/>
      <c r="Z956" s="194"/>
      <c r="AA956" s="194"/>
      <c r="AB956" s="194"/>
      <c r="AC956" s="194"/>
      <c r="AD956" s="194"/>
      <c r="AE956" s="194"/>
    </row>
    <row r="957">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c r="AA957" s="194"/>
      <c r="AB957" s="194"/>
      <c r="AC957" s="194"/>
      <c r="AD957" s="194"/>
      <c r="AE957" s="194"/>
    </row>
    <row r="958">
      <c r="A958" s="194"/>
      <c r="B958" s="194"/>
      <c r="C958" s="194"/>
      <c r="D958" s="194"/>
      <c r="E958" s="194"/>
      <c r="F958" s="194"/>
      <c r="G958" s="194"/>
      <c r="H958" s="194"/>
      <c r="I958" s="194"/>
      <c r="J958" s="194"/>
      <c r="K958" s="194"/>
      <c r="L958" s="194"/>
      <c r="M958" s="194"/>
      <c r="N958" s="194"/>
      <c r="O958" s="194"/>
      <c r="P958" s="194"/>
      <c r="Q958" s="194"/>
      <c r="R958" s="194"/>
      <c r="S958" s="194"/>
      <c r="T958" s="194"/>
      <c r="U958" s="194"/>
      <c r="V958" s="194"/>
      <c r="W958" s="194"/>
      <c r="X958" s="194"/>
      <c r="Y958" s="194"/>
      <c r="Z958" s="194"/>
      <c r="AA958" s="194"/>
      <c r="AB958" s="194"/>
      <c r="AC958" s="194"/>
      <c r="AD958" s="194"/>
      <c r="AE958" s="194"/>
    </row>
    <row r="959">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c r="AA959" s="194"/>
      <c r="AB959" s="194"/>
      <c r="AC959" s="194"/>
      <c r="AD959" s="194"/>
      <c r="AE959" s="194"/>
    </row>
    <row r="960">
      <c r="A960" s="194"/>
      <c r="B960" s="194"/>
      <c r="C960" s="194"/>
      <c r="D960" s="194"/>
      <c r="E960" s="194"/>
      <c r="F960" s="194"/>
      <c r="G960" s="194"/>
      <c r="H960" s="194"/>
      <c r="I960" s="194"/>
      <c r="J960" s="194"/>
      <c r="K960" s="194"/>
      <c r="L960" s="194"/>
      <c r="M960" s="194"/>
      <c r="N960" s="194"/>
      <c r="O960" s="194"/>
      <c r="P960" s="194"/>
      <c r="Q960" s="194"/>
      <c r="R960" s="194"/>
      <c r="S960" s="194"/>
      <c r="T960" s="194"/>
      <c r="U960" s="194"/>
      <c r="V960" s="194"/>
      <c r="W960" s="194"/>
      <c r="X960" s="194"/>
      <c r="Y960" s="194"/>
      <c r="Z960" s="194"/>
      <c r="AA960" s="194"/>
      <c r="AB960" s="194"/>
      <c r="AC960" s="194"/>
      <c r="AD960" s="194"/>
      <c r="AE960" s="194"/>
    </row>
    <row r="961">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c r="AA961" s="194"/>
      <c r="AB961" s="194"/>
      <c r="AC961" s="194"/>
      <c r="AD961" s="194"/>
      <c r="AE961" s="194"/>
    </row>
    <row r="962">
      <c r="A962" s="194"/>
      <c r="B962" s="194"/>
      <c r="C962" s="194"/>
      <c r="D962" s="194"/>
      <c r="E962" s="194"/>
      <c r="F962" s="194"/>
      <c r="G962" s="194"/>
      <c r="H962" s="194"/>
      <c r="I962" s="194"/>
      <c r="J962" s="194"/>
      <c r="K962" s="194"/>
      <c r="L962" s="194"/>
      <c r="M962" s="194"/>
      <c r="N962" s="194"/>
      <c r="O962" s="194"/>
      <c r="P962" s="194"/>
      <c r="Q962" s="194"/>
      <c r="R962" s="194"/>
      <c r="S962" s="194"/>
      <c r="T962" s="194"/>
      <c r="U962" s="194"/>
      <c r="V962" s="194"/>
      <c r="W962" s="194"/>
      <c r="X962" s="194"/>
      <c r="Y962" s="194"/>
      <c r="Z962" s="194"/>
      <c r="AA962" s="194"/>
      <c r="AB962" s="194"/>
      <c r="AC962" s="194"/>
      <c r="AD962" s="194"/>
      <c r="AE962" s="194"/>
    </row>
    <row r="963">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c r="AA963" s="194"/>
      <c r="AB963" s="194"/>
      <c r="AC963" s="194"/>
      <c r="AD963" s="194"/>
      <c r="AE963" s="194"/>
    </row>
    <row r="964">
      <c r="A964" s="194"/>
      <c r="B964" s="194"/>
      <c r="C964" s="194"/>
      <c r="D964" s="194"/>
      <c r="E964" s="194"/>
      <c r="F964" s="194"/>
      <c r="G964" s="194"/>
      <c r="H964" s="194"/>
      <c r="I964" s="194"/>
      <c r="J964" s="194"/>
      <c r="K964" s="194"/>
      <c r="L964" s="194"/>
      <c r="M964" s="194"/>
      <c r="N964" s="194"/>
      <c r="O964" s="194"/>
      <c r="P964" s="194"/>
      <c r="Q964" s="194"/>
      <c r="R964" s="194"/>
      <c r="S964" s="194"/>
      <c r="T964" s="194"/>
      <c r="U964" s="194"/>
      <c r="V964" s="194"/>
      <c r="W964" s="194"/>
      <c r="X964" s="194"/>
      <c r="Y964" s="194"/>
      <c r="Z964" s="194"/>
      <c r="AA964" s="194"/>
      <c r="AB964" s="194"/>
      <c r="AC964" s="194"/>
      <c r="AD964" s="194"/>
      <c r="AE964" s="194"/>
    </row>
    <row r="96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c r="AA965" s="194"/>
      <c r="AB965" s="194"/>
      <c r="AC965" s="194"/>
      <c r="AD965" s="194"/>
      <c r="AE965" s="194"/>
    </row>
    <row r="966">
      <c r="A966" s="194"/>
      <c r="B966" s="194"/>
      <c r="C966" s="194"/>
      <c r="D966" s="194"/>
      <c r="E966" s="194"/>
      <c r="F966" s="194"/>
      <c r="G966" s="194"/>
      <c r="H966" s="194"/>
      <c r="I966" s="194"/>
      <c r="J966" s="194"/>
      <c r="K966" s="194"/>
      <c r="L966" s="194"/>
      <c r="M966" s="194"/>
      <c r="N966" s="194"/>
      <c r="O966" s="194"/>
      <c r="P966" s="194"/>
      <c r="Q966" s="194"/>
      <c r="R966" s="194"/>
      <c r="S966" s="194"/>
      <c r="T966" s="194"/>
      <c r="U966" s="194"/>
      <c r="V966" s="194"/>
      <c r="W966" s="194"/>
      <c r="X966" s="194"/>
      <c r="Y966" s="194"/>
      <c r="Z966" s="194"/>
      <c r="AA966" s="194"/>
      <c r="AB966" s="194"/>
      <c r="AC966" s="194"/>
      <c r="AD966" s="194"/>
      <c r="AE966" s="194"/>
    </row>
    <row r="967">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c r="AA967" s="194"/>
      <c r="AB967" s="194"/>
      <c r="AC967" s="194"/>
      <c r="AD967" s="194"/>
      <c r="AE967" s="194"/>
    </row>
    <row r="968">
      <c r="A968" s="194"/>
      <c r="B968" s="194"/>
      <c r="C968" s="194"/>
      <c r="D968" s="194"/>
      <c r="E968" s="194"/>
      <c r="F968" s="194"/>
      <c r="G968" s="194"/>
      <c r="H968" s="194"/>
      <c r="I968" s="194"/>
      <c r="J968" s="194"/>
      <c r="K968" s="194"/>
      <c r="L968" s="194"/>
      <c r="M968" s="194"/>
      <c r="N968" s="194"/>
      <c r="O968" s="194"/>
      <c r="P968" s="194"/>
      <c r="Q968" s="194"/>
      <c r="R968" s="194"/>
      <c r="S968" s="194"/>
      <c r="T968" s="194"/>
      <c r="U968" s="194"/>
      <c r="V968" s="194"/>
      <c r="W968" s="194"/>
      <c r="X968" s="194"/>
      <c r="Y968" s="194"/>
      <c r="Z968" s="194"/>
      <c r="AA968" s="194"/>
      <c r="AB968" s="194"/>
      <c r="AC968" s="194"/>
      <c r="AD968" s="194"/>
      <c r="AE968" s="194"/>
    </row>
    <row r="969">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c r="AA969" s="194"/>
      <c r="AB969" s="194"/>
      <c r="AC969" s="194"/>
      <c r="AD969" s="194"/>
      <c r="AE969" s="194"/>
    </row>
    <row r="970">
      <c r="A970" s="194"/>
      <c r="B970" s="194"/>
      <c r="C970" s="194"/>
      <c r="D970" s="194"/>
      <c r="E970" s="194"/>
      <c r="F970" s="194"/>
      <c r="G970" s="194"/>
      <c r="H970" s="194"/>
      <c r="I970" s="194"/>
      <c r="J970" s="194"/>
      <c r="K970" s="194"/>
      <c r="L970" s="194"/>
      <c r="M970" s="194"/>
      <c r="N970" s="194"/>
      <c r="O970" s="194"/>
      <c r="P970" s="194"/>
      <c r="Q970" s="194"/>
      <c r="R970" s="194"/>
      <c r="S970" s="194"/>
      <c r="T970" s="194"/>
      <c r="U970" s="194"/>
      <c r="V970" s="194"/>
      <c r="W970" s="194"/>
      <c r="X970" s="194"/>
      <c r="Y970" s="194"/>
      <c r="Z970" s="194"/>
      <c r="AA970" s="194"/>
      <c r="AB970" s="194"/>
      <c r="AC970" s="194"/>
      <c r="AD970" s="194"/>
      <c r="AE970" s="194"/>
    </row>
    <row r="971">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c r="AA971" s="194"/>
      <c r="AB971" s="194"/>
      <c r="AC971" s="194"/>
      <c r="AD971" s="194"/>
      <c r="AE971" s="194"/>
    </row>
    <row r="972">
      <c r="A972" s="194"/>
      <c r="B972" s="194"/>
      <c r="C972" s="194"/>
      <c r="D972" s="194"/>
      <c r="E972" s="194"/>
      <c r="F972" s="194"/>
      <c r="G972" s="194"/>
      <c r="H972" s="194"/>
      <c r="I972" s="194"/>
      <c r="J972" s="194"/>
      <c r="K972" s="194"/>
      <c r="L972" s="194"/>
      <c r="M972" s="194"/>
      <c r="N972" s="194"/>
      <c r="O972" s="194"/>
      <c r="P972" s="194"/>
      <c r="Q972" s="194"/>
      <c r="R972" s="194"/>
      <c r="S972" s="194"/>
      <c r="T972" s="194"/>
      <c r="U972" s="194"/>
      <c r="V972" s="194"/>
      <c r="W972" s="194"/>
      <c r="X972" s="194"/>
      <c r="Y972" s="194"/>
      <c r="Z972" s="194"/>
      <c r="AA972" s="194"/>
      <c r="AB972" s="194"/>
      <c r="AC972" s="194"/>
      <c r="AD972" s="194"/>
      <c r="AE972" s="194"/>
    </row>
    <row r="973">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c r="AA973" s="194"/>
      <c r="AB973" s="194"/>
      <c r="AC973" s="194"/>
      <c r="AD973" s="194"/>
      <c r="AE973" s="194"/>
    </row>
    <row r="974">
      <c r="A974" s="194"/>
      <c r="B974" s="194"/>
      <c r="C974" s="194"/>
      <c r="D974" s="194"/>
      <c r="E974" s="194"/>
      <c r="F974" s="194"/>
      <c r="G974" s="194"/>
      <c r="H974" s="194"/>
      <c r="I974" s="194"/>
      <c r="J974" s="194"/>
      <c r="K974" s="194"/>
      <c r="L974" s="194"/>
      <c r="M974" s="194"/>
      <c r="N974" s="194"/>
      <c r="O974" s="194"/>
      <c r="P974" s="194"/>
      <c r="Q974" s="194"/>
      <c r="R974" s="194"/>
      <c r="S974" s="194"/>
      <c r="T974" s="194"/>
      <c r="U974" s="194"/>
      <c r="V974" s="194"/>
      <c r="W974" s="194"/>
      <c r="X974" s="194"/>
      <c r="Y974" s="194"/>
      <c r="Z974" s="194"/>
      <c r="AA974" s="194"/>
      <c r="AB974" s="194"/>
      <c r="AC974" s="194"/>
      <c r="AD974" s="194"/>
      <c r="AE974" s="194"/>
    </row>
    <row r="97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c r="AA975" s="194"/>
      <c r="AB975" s="194"/>
      <c r="AC975" s="194"/>
      <c r="AD975" s="194"/>
      <c r="AE975" s="194"/>
    </row>
    <row r="976">
      <c r="A976" s="194"/>
      <c r="B976" s="194"/>
      <c r="C976" s="194"/>
      <c r="D976" s="194"/>
      <c r="E976" s="194"/>
      <c r="F976" s="194"/>
      <c r="G976" s="194"/>
      <c r="H976" s="194"/>
      <c r="I976" s="194"/>
      <c r="J976" s="194"/>
      <c r="K976" s="194"/>
      <c r="L976" s="194"/>
      <c r="M976" s="194"/>
      <c r="N976" s="194"/>
      <c r="O976" s="194"/>
      <c r="P976" s="194"/>
      <c r="Q976" s="194"/>
      <c r="R976" s="194"/>
      <c r="S976" s="194"/>
      <c r="T976" s="194"/>
      <c r="U976" s="194"/>
      <c r="V976" s="194"/>
      <c r="W976" s="194"/>
      <c r="X976" s="194"/>
      <c r="Y976" s="194"/>
      <c r="Z976" s="194"/>
      <c r="AA976" s="194"/>
      <c r="AB976" s="194"/>
      <c r="AC976" s="194"/>
      <c r="AD976" s="194"/>
      <c r="AE976" s="194"/>
    </row>
    <row r="977">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c r="AA977" s="194"/>
      <c r="AB977" s="194"/>
      <c r="AC977" s="194"/>
      <c r="AD977" s="194"/>
      <c r="AE977" s="194"/>
    </row>
    <row r="978">
      <c r="A978" s="194"/>
      <c r="B978" s="194"/>
      <c r="C978" s="194"/>
      <c r="D978" s="194"/>
      <c r="E978" s="194"/>
      <c r="F978" s="194"/>
      <c r="G978" s="194"/>
      <c r="H978" s="194"/>
      <c r="I978" s="194"/>
      <c r="J978" s="194"/>
      <c r="K978" s="194"/>
      <c r="L978" s="194"/>
      <c r="M978" s="194"/>
      <c r="N978" s="194"/>
      <c r="O978" s="194"/>
      <c r="P978" s="194"/>
      <c r="Q978" s="194"/>
      <c r="R978" s="194"/>
      <c r="S978" s="194"/>
      <c r="T978" s="194"/>
      <c r="U978" s="194"/>
      <c r="V978" s="194"/>
      <c r="W978" s="194"/>
      <c r="X978" s="194"/>
      <c r="Y978" s="194"/>
      <c r="Z978" s="194"/>
      <c r="AA978" s="194"/>
      <c r="AB978" s="194"/>
      <c r="AC978" s="194"/>
      <c r="AD978" s="194"/>
      <c r="AE978" s="194"/>
    </row>
    <row r="979">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c r="AA979" s="194"/>
      <c r="AB979" s="194"/>
      <c r="AC979" s="194"/>
      <c r="AD979" s="194"/>
      <c r="AE979" s="194"/>
    </row>
    <row r="980">
      <c r="A980" s="194"/>
      <c r="B980" s="194"/>
      <c r="C980" s="194"/>
      <c r="D980" s="194"/>
      <c r="E980" s="194"/>
      <c r="F980" s="194"/>
      <c r="G980" s="194"/>
      <c r="H980" s="194"/>
      <c r="I980" s="194"/>
      <c r="J980" s="194"/>
      <c r="K980" s="194"/>
      <c r="L980" s="194"/>
      <c r="M980" s="194"/>
      <c r="N980" s="194"/>
      <c r="O980" s="194"/>
      <c r="P980" s="194"/>
      <c r="Q980" s="194"/>
      <c r="R980" s="194"/>
      <c r="S980" s="194"/>
      <c r="T980" s="194"/>
      <c r="U980" s="194"/>
      <c r="V980" s="194"/>
      <c r="W980" s="194"/>
      <c r="X980" s="194"/>
      <c r="Y980" s="194"/>
      <c r="Z980" s="194"/>
      <c r="AA980" s="194"/>
      <c r="AB980" s="194"/>
      <c r="AC980" s="194"/>
      <c r="AD980" s="194"/>
      <c r="AE980" s="194"/>
    </row>
    <row r="981">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c r="AA981" s="194"/>
      <c r="AB981" s="194"/>
      <c r="AC981" s="194"/>
      <c r="AD981" s="194"/>
      <c r="AE981" s="194"/>
    </row>
    <row r="982">
      <c r="A982" s="194"/>
      <c r="B982" s="194"/>
      <c r="C982" s="194"/>
      <c r="D982" s="194"/>
      <c r="E982" s="194"/>
      <c r="F982" s="194"/>
      <c r="G982" s="194"/>
      <c r="H982" s="194"/>
      <c r="I982" s="194"/>
      <c r="J982" s="194"/>
      <c r="K982" s="194"/>
      <c r="L982" s="194"/>
      <c r="M982" s="194"/>
      <c r="N982" s="194"/>
      <c r="O982" s="194"/>
      <c r="P982" s="194"/>
      <c r="Q982" s="194"/>
      <c r="R982" s="194"/>
      <c r="S982" s="194"/>
      <c r="T982" s="194"/>
      <c r="U982" s="194"/>
      <c r="V982" s="194"/>
      <c r="W982" s="194"/>
      <c r="X982" s="194"/>
      <c r="Y982" s="194"/>
      <c r="Z982" s="194"/>
      <c r="AA982" s="194"/>
      <c r="AB982" s="194"/>
      <c r="AC982" s="194"/>
      <c r="AD982" s="194"/>
      <c r="AE982" s="194"/>
    </row>
    <row r="983">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c r="AA983" s="194"/>
      <c r="AB983" s="194"/>
      <c r="AC983" s="194"/>
      <c r="AD983" s="194"/>
      <c r="AE983" s="194"/>
    </row>
    <row r="984">
      <c r="A984" s="194"/>
      <c r="B984" s="194"/>
      <c r="C984" s="194"/>
      <c r="D984" s="194"/>
      <c r="E984" s="194"/>
      <c r="F984" s="194"/>
      <c r="G984" s="194"/>
      <c r="H984" s="194"/>
      <c r="I984" s="194"/>
      <c r="J984" s="194"/>
      <c r="K984" s="194"/>
      <c r="L984" s="194"/>
      <c r="M984" s="194"/>
      <c r="N984" s="194"/>
      <c r="O984" s="194"/>
      <c r="P984" s="194"/>
      <c r="Q984" s="194"/>
      <c r="R984" s="194"/>
      <c r="S984" s="194"/>
      <c r="T984" s="194"/>
      <c r="U984" s="194"/>
      <c r="V984" s="194"/>
      <c r="W984" s="194"/>
      <c r="X984" s="194"/>
      <c r="Y984" s="194"/>
      <c r="Z984" s="194"/>
      <c r="AA984" s="194"/>
      <c r="AB984" s="194"/>
      <c r="AC984" s="194"/>
      <c r="AD984" s="194"/>
      <c r="AE984" s="194"/>
    </row>
    <row r="98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c r="AA985" s="194"/>
      <c r="AB985" s="194"/>
      <c r="AC985" s="194"/>
      <c r="AD985" s="194"/>
      <c r="AE985" s="194"/>
    </row>
    <row r="986">
      <c r="A986" s="194"/>
      <c r="B986" s="194"/>
      <c r="C986" s="194"/>
      <c r="D986" s="194"/>
      <c r="E986" s="194"/>
      <c r="F986" s="194"/>
      <c r="G986" s="194"/>
      <c r="H986" s="194"/>
      <c r="I986" s="194"/>
      <c r="J986" s="194"/>
      <c r="K986" s="194"/>
      <c r="L986" s="194"/>
      <c r="M986" s="194"/>
      <c r="N986" s="194"/>
      <c r="O986" s="194"/>
      <c r="P986" s="194"/>
      <c r="Q986" s="194"/>
      <c r="R986" s="194"/>
      <c r="S986" s="194"/>
      <c r="T986" s="194"/>
      <c r="U986" s="194"/>
      <c r="V986" s="194"/>
      <c r="W986" s="194"/>
      <c r="X986" s="194"/>
      <c r="Y986" s="194"/>
      <c r="Z986" s="194"/>
      <c r="AA986" s="194"/>
      <c r="AB986" s="194"/>
      <c r="AC986" s="194"/>
      <c r="AD986" s="194"/>
      <c r="AE986" s="194"/>
    </row>
    <row r="987">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c r="AA987" s="194"/>
      <c r="AB987" s="194"/>
      <c r="AC987" s="194"/>
      <c r="AD987" s="194"/>
      <c r="AE987" s="194"/>
    </row>
    <row r="988">
      <c r="A988" s="194"/>
      <c r="B988" s="194"/>
      <c r="C988" s="194"/>
      <c r="D988" s="194"/>
      <c r="E988" s="194"/>
      <c r="F988" s="194"/>
      <c r="G988" s="194"/>
      <c r="H988" s="194"/>
      <c r="I988" s="194"/>
      <c r="J988" s="194"/>
      <c r="K988" s="194"/>
      <c r="L988" s="194"/>
      <c r="M988" s="194"/>
      <c r="N988" s="194"/>
      <c r="O988" s="194"/>
      <c r="P988" s="194"/>
      <c r="Q988" s="194"/>
      <c r="R988" s="194"/>
      <c r="S988" s="194"/>
      <c r="T988" s="194"/>
      <c r="U988" s="194"/>
      <c r="V988" s="194"/>
      <c r="W988" s="194"/>
      <c r="X988" s="194"/>
      <c r="Y988" s="194"/>
      <c r="Z988" s="194"/>
      <c r="AA988" s="194"/>
      <c r="AB988" s="194"/>
      <c r="AC988" s="194"/>
      <c r="AD988" s="194"/>
      <c r="AE988" s="194"/>
    </row>
    <row r="989">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c r="AA989" s="194"/>
      <c r="AB989" s="194"/>
      <c r="AC989" s="194"/>
      <c r="AD989" s="194"/>
      <c r="AE989" s="194"/>
    </row>
    <row r="990">
      <c r="A990" s="194"/>
      <c r="B990" s="194"/>
      <c r="C990" s="194"/>
      <c r="D990" s="194"/>
      <c r="E990" s="194"/>
      <c r="F990" s="194"/>
      <c r="G990" s="194"/>
      <c r="H990" s="194"/>
      <c r="I990" s="194"/>
      <c r="J990" s="194"/>
      <c r="K990" s="194"/>
      <c r="L990" s="194"/>
      <c r="M990" s="194"/>
      <c r="N990" s="194"/>
      <c r="O990" s="194"/>
      <c r="P990" s="194"/>
      <c r="Q990" s="194"/>
      <c r="R990" s="194"/>
      <c r="S990" s="194"/>
      <c r="T990" s="194"/>
      <c r="U990" s="194"/>
      <c r="V990" s="194"/>
      <c r="W990" s="194"/>
      <c r="X990" s="194"/>
      <c r="Y990" s="194"/>
      <c r="Z990" s="194"/>
      <c r="AA990" s="194"/>
      <c r="AB990" s="194"/>
      <c r="AC990" s="194"/>
      <c r="AD990" s="194"/>
      <c r="AE990" s="194"/>
    </row>
    <row r="991">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c r="AA991" s="194"/>
      <c r="AB991" s="194"/>
      <c r="AC991" s="194"/>
      <c r="AD991" s="194"/>
      <c r="AE991" s="194"/>
    </row>
    <row r="992">
      <c r="A992" s="194"/>
      <c r="B992" s="194"/>
      <c r="C992" s="194"/>
      <c r="D992" s="194"/>
      <c r="E992" s="194"/>
      <c r="F992" s="194"/>
      <c r="G992" s="194"/>
      <c r="H992" s="194"/>
      <c r="I992" s="194"/>
      <c r="J992" s="194"/>
      <c r="K992" s="194"/>
      <c r="L992" s="194"/>
      <c r="M992" s="194"/>
      <c r="N992" s="194"/>
      <c r="O992" s="194"/>
      <c r="P992" s="194"/>
      <c r="Q992" s="194"/>
      <c r="R992" s="194"/>
      <c r="S992" s="194"/>
      <c r="T992" s="194"/>
      <c r="U992" s="194"/>
      <c r="V992" s="194"/>
      <c r="W992" s="194"/>
      <c r="X992" s="194"/>
      <c r="Y992" s="194"/>
      <c r="Z992" s="194"/>
      <c r="AA992" s="194"/>
      <c r="AB992" s="194"/>
      <c r="AC992" s="194"/>
      <c r="AD992" s="194"/>
      <c r="AE992" s="194"/>
    </row>
    <row r="993">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c r="AA993" s="194"/>
      <c r="AB993" s="194"/>
      <c r="AC993" s="194"/>
      <c r="AD993" s="194"/>
      <c r="AE993" s="194"/>
    </row>
    <row r="994">
      <c r="A994" s="194"/>
      <c r="B994" s="194"/>
      <c r="C994" s="194"/>
      <c r="D994" s="194"/>
      <c r="E994" s="194"/>
      <c r="F994" s="194"/>
      <c r="G994" s="194"/>
      <c r="H994" s="194"/>
      <c r="I994" s="194"/>
      <c r="J994" s="194"/>
      <c r="K994" s="194"/>
      <c r="L994" s="194"/>
      <c r="M994" s="194"/>
      <c r="N994" s="194"/>
      <c r="O994" s="194"/>
      <c r="P994" s="194"/>
      <c r="Q994" s="194"/>
      <c r="R994" s="194"/>
      <c r="S994" s="194"/>
      <c r="T994" s="194"/>
      <c r="U994" s="194"/>
      <c r="V994" s="194"/>
      <c r="W994" s="194"/>
      <c r="X994" s="194"/>
      <c r="Y994" s="194"/>
      <c r="Z994" s="194"/>
      <c r="AA994" s="194"/>
      <c r="AB994" s="194"/>
      <c r="AC994" s="194"/>
      <c r="AD994" s="194"/>
      <c r="AE994" s="194"/>
    </row>
    <row r="99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c r="AA995" s="194"/>
      <c r="AB995" s="194"/>
      <c r="AC995" s="194"/>
      <c r="AD995" s="194"/>
      <c r="AE995" s="194"/>
    </row>
    <row r="996">
      <c r="A996" s="194"/>
      <c r="B996" s="194"/>
      <c r="C996" s="194"/>
      <c r="D996" s="194"/>
      <c r="E996" s="194"/>
      <c r="F996" s="194"/>
      <c r="G996" s="194"/>
      <c r="H996" s="194"/>
      <c r="I996" s="194"/>
      <c r="J996" s="194"/>
      <c r="K996" s="194"/>
      <c r="L996" s="194"/>
      <c r="M996" s="194"/>
      <c r="N996" s="194"/>
      <c r="O996" s="194"/>
      <c r="P996" s="194"/>
      <c r="Q996" s="194"/>
      <c r="R996" s="194"/>
      <c r="S996" s="194"/>
      <c r="T996" s="194"/>
      <c r="U996" s="194"/>
      <c r="V996" s="194"/>
      <c r="W996" s="194"/>
      <c r="X996" s="194"/>
      <c r="Y996" s="194"/>
      <c r="Z996" s="194"/>
      <c r="AA996" s="194"/>
      <c r="AB996" s="194"/>
      <c r="AC996" s="194"/>
      <c r="AD996" s="194"/>
      <c r="AE996" s="194"/>
    </row>
    <row r="997">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c r="AA997" s="194"/>
      <c r="AB997" s="194"/>
      <c r="AC997" s="194"/>
      <c r="AD997" s="194"/>
      <c r="AE997" s="194"/>
    </row>
    <row r="998">
      <c r="A998" s="194"/>
      <c r="B998" s="194"/>
      <c r="C998" s="194"/>
      <c r="D998" s="194"/>
      <c r="E998" s="194"/>
      <c r="F998" s="194"/>
      <c r="G998" s="194"/>
      <c r="H998" s="194"/>
      <c r="I998" s="194"/>
      <c r="J998" s="194"/>
      <c r="K998" s="194"/>
      <c r="L998" s="194"/>
      <c r="M998" s="194"/>
      <c r="N998" s="194"/>
      <c r="O998" s="194"/>
      <c r="P998" s="194"/>
      <c r="Q998" s="194"/>
      <c r="R998" s="194"/>
      <c r="S998" s="194"/>
      <c r="T998" s="194"/>
      <c r="U998" s="194"/>
      <c r="V998" s="194"/>
      <c r="W998" s="194"/>
      <c r="X998" s="194"/>
      <c r="Y998" s="194"/>
      <c r="Z998" s="194"/>
      <c r="AA998" s="194"/>
      <c r="AB998" s="194"/>
      <c r="AC998" s="194"/>
      <c r="AD998" s="194"/>
      <c r="AE998" s="194"/>
    </row>
    <row r="999">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c r="AA999" s="194"/>
      <c r="AB999" s="194"/>
      <c r="AC999" s="194"/>
      <c r="AD999" s="194"/>
      <c r="AE999" s="194"/>
    </row>
    <row r="1000">
      <c r="A1000" s="194"/>
      <c r="B1000" s="194"/>
      <c r="C1000" s="194"/>
      <c r="D1000" s="194"/>
      <c r="E1000" s="194"/>
      <c r="F1000" s="194"/>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c r="AA1000" s="194"/>
      <c r="AB1000" s="194"/>
      <c r="AC1000" s="194"/>
      <c r="AD1000" s="194"/>
      <c r="AE1000" s="194"/>
    </row>
  </sheetData>
  <mergeCells count="1">
    <mergeCell ref="A1:I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2.75"/>
    <col customWidth="1" min="3" max="3" width="49.25"/>
    <col customWidth="1" min="4" max="4" width="34.63"/>
    <col customWidth="1" min="5" max="5" width="25.5"/>
    <col customWidth="1" min="6" max="6" width="24.25"/>
    <col customWidth="1" min="7" max="7" width="24.75"/>
    <col customWidth="1" min="8" max="8" width="24.38"/>
  </cols>
  <sheetData>
    <row r="1">
      <c r="A1" s="198" t="s">
        <v>12</v>
      </c>
      <c r="B1" s="3"/>
      <c r="C1" s="3"/>
      <c r="D1" s="3"/>
      <c r="E1" s="3"/>
      <c r="F1" s="3"/>
      <c r="G1" s="3"/>
      <c r="H1" s="3"/>
      <c r="I1" s="4"/>
      <c r="J1" s="104"/>
      <c r="K1" s="104"/>
      <c r="L1" s="104"/>
      <c r="M1" s="104"/>
      <c r="N1" s="104"/>
      <c r="O1" s="104"/>
      <c r="P1" s="104"/>
      <c r="Q1" s="104"/>
      <c r="R1" s="104"/>
      <c r="S1" s="104"/>
      <c r="T1" s="104"/>
      <c r="U1" s="104"/>
      <c r="V1" s="104"/>
      <c r="W1" s="104"/>
      <c r="X1" s="104"/>
      <c r="Y1" s="104"/>
      <c r="Z1" s="104"/>
    </row>
    <row r="2">
      <c r="A2" s="199" t="s">
        <v>178</v>
      </c>
      <c r="B2" s="200" t="s">
        <v>485</v>
      </c>
      <c r="C2" s="199" t="s">
        <v>438</v>
      </c>
      <c r="D2" s="200" t="s">
        <v>670</v>
      </c>
      <c r="E2" s="200" t="s">
        <v>447</v>
      </c>
      <c r="F2" s="200" t="s">
        <v>671</v>
      </c>
      <c r="G2" s="200" t="s">
        <v>672</v>
      </c>
      <c r="H2" s="200" t="s">
        <v>448</v>
      </c>
      <c r="I2" s="200" t="s">
        <v>449</v>
      </c>
      <c r="J2" s="104"/>
      <c r="K2" s="104"/>
      <c r="L2" s="104"/>
      <c r="M2" s="104"/>
      <c r="N2" s="104"/>
      <c r="O2" s="104"/>
      <c r="P2" s="104"/>
      <c r="Q2" s="104"/>
      <c r="R2" s="104"/>
      <c r="S2" s="104"/>
      <c r="T2" s="104"/>
      <c r="U2" s="104"/>
      <c r="V2" s="104"/>
      <c r="W2" s="104"/>
      <c r="X2" s="104"/>
      <c r="Y2" s="104"/>
      <c r="Z2" s="104"/>
    </row>
    <row r="3">
      <c r="A3" s="127">
        <v>1.0</v>
      </c>
      <c r="B3" s="132">
        <v>45995.0</v>
      </c>
      <c r="C3" s="127" t="s">
        <v>673</v>
      </c>
      <c r="D3" s="127" t="s">
        <v>674</v>
      </c>
      <c r="E3" s="127">
        <v>2.0</v>
      </c>
      <c r="F3" s="127" t="s">
        <v>675</v>
      </c>
      <c r="G3" s="119"/>
      <c r="H3" s="127" t="s">
        <v>506</v>
      </c>
      <c r="I3" s="119"/>
      <c r="J3" s="104"/>
      <c r="K3" s="104"/>
      <c r="L3" s="104"/>
      <c r="M3" s="104"/>
      <c r="N3" s="104"/>
      <c r="O3" s="104"/>
      <c r="P3" s="104"/>
      <c r="Q3" s="104"/>
      <c r="R3" s="104"/>
      <c r="S3" s="104"/>
      <c r="T3" s="104"/>
      <c r="U3" s="104"/>
      <c r="V3" s="104"/>
      <c r="W3" s="104"/>
      <c r="X3" s="104"/>
      <c r="Y3" s="104"/>
      <c r="Z3" s="104"/>
    </row>
    <row r="4">
      <c r="A4" s="127">
        <v>2.0</v>
      </c>
      <c r="B4" s="128">
        <v>46013.0</v>
      </c>
      <c r="C4" s="127" t="s">
        <v>676</v>
      </c>
      <c r="D4" s="127" t="s">
        <v>677</v>
      </c>
      <c r="E4" s="127">
        <v>1.0</v>
      </c>
      <c r="F4" s="127" t="s">
        <v>678</v>
      </c>
      <c r="G4" s="119"/>
      <c r="H4" s="119"/>
      <c r="I4" s="119"/>
      <c r="J4" s="104"/>
      <c r="K4" s="104"/>
      <c r="L4" s="104"/>
      <c r="M4" s="104"/>
      <c r="N4" s="104"/>
      <c r="O4" s="104"/>
      <c r="P4" s="104"/>
      <c r="Q4" s="104"/>
      <c r="R4" s="104"/>
      <c r="S4" s="104"/>
      <c r="T4" s="104"/>
      <c r="U4" s="104"/>
      <c r="V4" s="104"/>
      <c r="W4" s="104"/>
      <c r="X4" s="104"/>
      <c r="Y4" s="104"/>
      <c r="Z4" s="104"/>
    </row>
    <row r="5">
      <c r="A5" s="127">
        <v>3.0</v>
      </c>
      <c r="B5" s="132">
        <v>46027.0</v>
      </c>
      <c r="C5" s="127" t="s">
        <v>679</v>
      </c>
      <c r="D5" s="127" t="s">
        <v>674</v>
      </c>
      <c r="E5" s="127">
        <v>2.0</v>
      </c>
      <c r="F5" s="127" t="s">
        <v>680</v>
      </c>
      <c r="G5" s="119"/>
      <c r="H5" s="127" t="s">
        <v>538</v>
      </c>
      <c r="I5" s="119"/>
      <c r="J5" s="104"/>
      <c r="K5" s="104"/>
      <c r="L5" s="104"/>
      <c r="M5" s="104"/>
      <c r="N5" s="104"/>
      <c r="O5" s="104"/>
      <c r="P5" s="104"/>
      <c r="Q5" s="104"/>
      <c r="R5" s="104"/>
      <c r="S5" s="104"/>
      <c r="T5" s="104"/>
      <c r="U5" s="104"/>
      <c r="V5" s="104"/>
      <c r="W5" s="104"/>
      <c r="X5" s="104"/>
      <c r="Y5" s="104"/>
      <c r="Z5" s="104"/>
    </row>
    <row r="6">
      <c r="A6" s="127">
        <v>4.0</v>
      </c>
      <c r="B6" s="132">
        <v>46055.0</v>
      </c>
      <c r="C6" s="127" t="s">
        <v>681</v>
      </c>
      <c r="D6" s="127" t="s">
        <v>677</v>
      </c>
      <c r="E6" s="127">
        <v>2.0</v>
      </c>
      <c r="F6" s="119"/>
      <c r="G6" s="119"/>
      <c r="H6" s="119"/>
      <c r="I6" s="119"/>
      <c r="J6" s="104"/>
      <c r="K6" s="104"/>
      <c r="L6" s="104"/>
      <c r="M6" s="104"/>
      <c r="N6" s="104"/>
      <c r="O6" s="104"/>
      <c r="P6" s="104"/>
      <c r="Q6" s="104"/>
      <c r="R6" s="104"/>
      <c r="S6" s="104"/>
      <c r="T6" s="104"/>
      <c r="U6" s="104"/>
      <c r="V6" s="104"/>
      <c r="W6" s="104"/>
      <c r="X6" s="104"/>
      <c r="Y6" s="104"/>
      <c r="Z6" s="104"/>
    </row>
    <row r="7">
      <c r="A7" s="201">
        <v>5.0</v>
      </c>
      <c r="B7" s="202">
        <v>46112.0</v>
      </c>
      <c r="C7" s="203" t="s">
        <v>682</v>
      </c>
      <c r="D7" s="127" t="s">
        <v>674</v>
      </c>
      <c r="E7" s="201">
        <v>2.0</v>
      </c>
      <c r="F7" s="201" t="s">
        <v>683</v>
      </c>
      <c r="G7" s="204"/>
      <c r="H7" s="201" t="s">
        <v>512</v>
      </c>
      <c r="I7" s="204"/>
      <c r="J7" s="104"/>
      <c r="K7" s="104"/>
      <c r="L7" s="104"/>
      <c r="M7" s="104"/>
      <c r="N7" s="104"/>
      <c r="O7" s="104"/>
      <c r="P7" s="104"/>
      <c r="Q7" s="104"/>
      <c r="R7" s="104"/>
      <c r="S7" s="104"/>
      <c r="T7" s="104"/>
      <c r="U7" s="104"/>
      <c r="V7" s="104"/>
      <c r="W7" s="104"/>
      <c r="X7" s="104"/>
      <c r="Y7" s="104"/>
      <c r="Z7" s="104"/>
    </row>
    <row r="8">
      <c r="A8" s="201">
        <f>A7+1</f>
        <v>6</v>
      </c>
      <c r="B8" s="202">
        <v>46121.0</v>
      </c>
      <c r="C8" s="203" t="s">
        <v>684</v>
      </c>
      <c r="D8" s="127" t="s">
        <v>685</v>
      </c>
      <c r="E8" s="201">
        <v>2.0</v>
      </c>
      <c r="F8" s="201" t="s">
        <v>686</v>
      </c>
      <c r="G8" s="204"/>
      <c r="H8" s="201" t="s">
        <v>506</v>
      </c>
      <c r="I8" s="204"/>
      <c r="J8" s="104"/>
      <c r="K8" s="104"/>
      <c r="L8" s="104"/>
      <c r="M8" s="104"/>
      <c r="N8" s="104"/>
      <c r="O8" s="104"/>
      <c r="P8" s="104"/>
      <c r="Q8" s="104"/>
      <c r="R8" s="104"/>
      <c r="S8" s="104"/>
      <c r="T8" s="104"/>
      <c r="U8" s="104"/>
      <c r="V8" s="104"/>
      <c r="W8" s="104"/>
      <c r="X8" s="104"/>
      <c r="Y8" s="104"/>
      <c r="Z8" s="104"/>
    </row>
    <row r="9">
      <c r="A9" s="104"/>
      <c r="B9" s="104"/>
      <c r="C9" s="104"/>
      <c r="D9" s="104"/>
      <c r="E9" s="104"/>
      <c r="F9" s="104"/>
      <c r="G9" s="104"/>
      <c r="H9" s="104"/>
      <c r="I9" s="104"/>
      <c r="J9" s="104"/>
      <c r="K9" s="104"/>
      <c r="L9" s="104"/>
      <c r="M9" s="104"/>
      <c r="N9" s="104"/>
      <c r="O9" s="104"/>
      <c r="P9" s="104"/>
      <c r="Q9" s="104"/>
      <c r="R9" s="104"/>
      <c r="S9" s="104"/>
      <c r="T9" s="104"/>
      <c r="U9" s="104"/>
      <c r="V9" s="104"/>
      <c r="W9" s="104"/>
      <c r="X9" s="104"/>
      <c r="Y9" s="104"/>
      <c r="Z9" s="104"/>
    </row>
    <row r="10">
      <c r="A10" s="104"/>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0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1">
    <mergeCell ref="A1:I1"/>
  </mergeCells>
  <drawing r:id="rId1"/>
</worksheet>
</file>